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o" sheetId="1" r:id="rId5"/>
    <sheet state="visible" name="Storico Stipendio" sheetId="2" r:id="rId6"/>
    <sheet state="visible" name="Storico Affitto" sheetId="3" r:id="rId7"/>
    <sheet state="visible" name="Storico Telefono" sheetId="4" r:id="rId8"/>
  </sheets>
  <definedNames/>
  <calcPr/>
</workbook>
</file>

<file path=xl/sharedStrings.xml><?xml version="1.0" encoding="utf-8"?>
<sst xmlns="http://schemas.openxmlformats.org/spreadsheetml/2006/main" count="654" uniqueCount="75">
  <si>
    <t>CC</t>
  </si>
  <si>
    <t>Postepay</t>
  </si>
  <si>
    <t>Contanti</t>
  </si>
  <si>
    <t>GENNAIO</t>
  </si>
  <si>
    <t>AUTO</t>
  </si>
  <si>
    <t>TOTALE SPESO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</si>
  <si>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</si>
  <si>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</si>
  <si>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</si>
  <si>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</si>
  <si>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</si>
  <si>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</si>
  <si>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</si>
  <si>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</si>
  <si>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</si>
  <si>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</si>
  <si>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</si>
  <si>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Assicurazione</t>
  </si>
  <si>
    <t>STIPENDIO</t>
  </si>
  <si>
    <t>Bollo</t>
  </si>
  <si>
    <t>Base</t>
  </si>
  <si>
    <t>Tagliando</t>
  </si>
  <si>
    <t>Aggiustamento</t>
  </si>
  <si>
    <t>Rrevisione</t>
  </si>
  <si>
    <t>13a o 14a</t>
  </si>
  <si>
    <t>Gomme</t>
  </si>
  <si>
    <t>% SPESA SUL REDDITO</t>
  </si>
  <si>
    <t>TRASPORTO</t>
  </si>
  <si>
    <t>Benzina</t>
  </si>
  <si>
    <t>Pedaggi</t>
  </si>
  <si>
    <t>Treno + autobus</t>
  </si>
  <si>
    <t>Parcheggio</t>
  </si>
  <si>
    <t>CIBO</t>
  </si>
  <si>
    <t>Pranzo/Cene NECESSARIE</t>
  </si>
  <si>
    <t>Spesa</t>
  </si>
  <si>
    <t>Pranzo/Cene NON NEC.</t>
  </si>
  <si>
    <t>BOLLETTA</t>
  </si>
  <si>
    <t>Telefono</t>
  </si>
  <si>
    <t>Elettricita</t>
  </si>
  <si>
    <t>Acqua</t>
  </si>
  <si>
    <t>Gas</t>
  </si>
  <si>
    <t>CASA</t>
  </si>
  <si>
    <t>Affitto</t>
  </si>
  <si>
    <t>Spese condiminio</t>
  </si>
  <si>
    <t>FONDO PENSIONE</t>
  </si>
  <si>
    <t>Aggiunta</t>
  </si>
  <si>
    <t>ACCESSORI CASA</t>
  </si>
  <si>
    <t>CULTURA</t>
  </si>
  <si>
    <t>Libri</t>
  </si>
  <si>
    <t>Musei</t>
  </si>
  <si>
    <t>VESTITI</t>
  </si>
  <si>
    <t>UNIVERSITA</t>
  </si>
  <si>
    <t>Tasse</t>
  </si>
  <si>
    <t>MEDICHE</t>
  </si>
  <si>
    <t>Visite</t>
  </si>
  <si>
    <t>psicologo</t>
  </si>
  <si>
    <t>Psicologa</t>
  </si>
  <si>
    <t>EXTRA NECESSITA</t>
  </si>
  <si>
    <t>Trasferimento</t>
  </si>
  <si>
    <t>Carta di identità</t>
  </si>
  <si>
    <t>EXTRA NON NECESSITA</t>
  </si>
  <si>
    <t>Litri</t>
  </si>
  <si>
    <t>Km</t>
  </si>
  <si>
    <t>Km/litro</t>
  </si>
  <si>
    <t>L/100km</t>
  </si>
  <si>
    <t>€/litro</t>
  </si>
  <si>
    <t>Costo</t>
  </si>
  <si>
    <t>ANNO</t>
  </si>
  <si>
    <t>Stipendio</t>
  </si>
  <si>
    <t>Giorno Accredito</t>
  </si>
  <si>
    <t>Azienda</t>
  </si>
  <si>
    <t>Mese Partenza</t>
  </si>
  <si>
    <t>Spese condominiali</t>
  </si>
  <si>
    <t>Giorno Pagamento</t>
  </si>
  <si>
    <t>Anno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</si>
</sst>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theme="1"/>
      <name val="Arial"/>
    </font>
    <font>
      <b/>
      <sz val="11.0"/>
      <color theme="1"/>
      <name val="Arial"/>
    </font>
    <font>
      <b/>
      <sz val="12.0"/>
      <color theme="1"/>
      <name val="Arial"/>
    </font>
    <font>
      <b/>
      <sz val="11.0"/>
      <color theme="1"/>
      <name val="Arial"/>
      <scheme val="minor"/>
    </font>
    <font>
      <i/>
      <color theme="1"/>
      <name val="Arial"/>
    </font>
    <font>
      <b/>
      <color theme="1"/>
      <name val="Arial"/>
    </font>
    <font>
      <color theme="1"/>
      <name val="Arial"/>
      <scheme val="minor"/>
    </font>
    <font>
      <i/>
      <sz val="10.0"/>
      <color theme="1"/>
      <name val="Arial"/>
    </font>
    <font>
      <b/>
      <color theme="1"/>
      <name val="Arial"/>
      <scheme val="minor"/>
    </font>
    <font>
      <i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14" xfId="0" applyAlignment="1" applyFill="1" applyFont="1" applyNumberFormat="1">
      <alignment readingOrder="0" vertical="bottom"/>
    </xf>
    <xf borderId="0" fillId="2" fontId="1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" fontId="1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2" fontId="3" numFmtId="0" xfId="0" applyAlignment="1" applyFont="1">
      <alignment readingOrder="0" vertical="bottom"/>
    </xf>
    <xf borderId="0" fillId="2" fontId="5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2" fontId="5" numFmtId="0" xfId="0" applyAlignment="1" applyFont="1">
      <alignment readingOrder="0" vertical="bottom"/>
    </xf>
    <xf borderId="0" fillId="0" fontId="7" numFmtId="0" xfId="0" applyFont="1"/>
    <xf borderId="0" fillId="2" fontId="2" numFmtId="0" xfId="0" applyAlignment="1" applyFont="1">
      <alignment readingOrder="0" vertical="bottom"/>
    </xf>
    <xf borderId="0" fillId="2" fontId="8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9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0"/>
    <col customWidth="1" min="8" max="8" width="22.13"/>
    <col customWidth="1" min="11" max="11" width="11.5"/>
    <col customWidth="1" min="12" max="12" width="22.0"/>
    <col customWidth="1" min="18" max="18" width="22.25"/>
    <col customWidth="1" min="28" max="28" width="22.25"/>
    <col customWidth="1" min="38" max="38" width="22.25"/>
    <col customWidth="1" min="48" max="48" width="22.88"/>
    <col customWidth="1" min="58" max="58" width="19.5"/>
    <col customWidth="1" min="81" max="81" width="13.38"/>
    <col customWidth="1" min="111" max="111" width="13.38"/>
  </cols>
  <sheetData>
    <row r="1">
      <c r="A1" s="1"/>
      <c r="B1" s="2"/>
      <c r="C1" s="2"/>
      <c r="D1" s="3" t="s">
        <v>0</v>
      </c>
      <c r="E1" s="3" t="s">
        <v>1</v>
      </c>
      <c r="F1" s="3" t="s">
        <v>2</v>
      </c>
      <c r="G1" s="2"/>
      <c r="K1" s="2"/>
      <c r="L1" s="2"/>
      <c r="M1" s="2"/>
      <c r="N1" s="3" t="s">
        <v>0</v>
      </c>
      <c r="O1" s="3" t="s">
        <v>1</v>
      </c>
      <c r="P1" s="3" t="s">
        <v>2</v>
      </c>
      <c r="Q1" s="2"/>
      <c r="T1" s="3"/>
      <c r="U1" s="2"/>
      <c r="V1" s="2"/>
      <c r="W1" s="4"/>
      <c r="X1" s="3" t="s">
        <v>0</v>
      </c>
      <c r="Y1" s="3" t="s">
        <v>1</v>
      </c>
      <c r="Z1" s="3" t="s">
        <v>2</v>
      </c>
      <c r="AA1" s="2"/>
      <c r="AD1" s="2"/>
      <c r="AE1" s="2"/>
      <c r="AF1" s="2"/>
      <c r="AG1" s="2"/>
      <c r="AH1" s="3" t="s">
        <v>0</v>
      </c>
      <c r="AI1" s="3" t="s">
        <v>1</v>
      </c>
      <c r="AJ1" s="3" t="s">
        <v>2</v>
      </c>
      <c r="AK1" s="2"/>
      <c r="AL1" s="5"/>
      <c r="AM1" s="5"/>
      <c r="AN1" s="2"/>
      <c r="AO1" s="2"/>
      <c r="AP1" s="2"/>
      <c r="AQ1" s="2"/>
      <c r="AR1" s="3" t="s">
        <v>0</v>
      </c>
      <c r="AS1" s="3" t="s">
        <v>1</v>
      </c>
      <c r="AT1" s="3" t="s">
        <v>2</v>
      </c>
      <c r="AU1" s="2"/>
      <c r="AV1" s="5"/>
      <c r="AW1" s="5"/>
      <c r="AX1" s="5"/>
      <c r="AY1" s="2"/>
      <c r="AZ1" s="2"/>
      <c r="BA1" s="2"/>
      <c r="BB1" s="3" t="s">
        <v>0</v>
      </c>
      <c r="BC1" s="3" t="s">
        <v>1</v>
      </c>
      <c r="BD1" s="3" t="s">
        <v>2</v>
      </c>
      <c r="BE1" s="2"/>
      <c r="BF1" s="5"/>
      <c r="BG1" s="5"/>
      <c r="BH1" s="5"/>
      <c r="BI1" s="2"/>
      <c r="BJ1" s="2"/>
      <c r="BK1" s="2"/>
      <c r="BL1" s="3" t="s">
        <v>0</v>
      </c>
      <c r="BM1" s="3" t="s">
        <v>1</v>
      </c>
      <c r="BN1" s="3" t="s">
        <v>2</v>
      </c>
      <c r="BO1" s="2"/>
      <c r="BP1" s="5"/>
      <c r="BQ1" s="5"/>
      <c r="BR1" s="5"/>
      <c r="BS1" s="2"/>
      <c r="BT1" s="2"/>
      <c r="BU1" s="2"/>
      <c r="BV1" s="3" t="s">
        <v>0</v>
      </c>
      <c r="BW1" s="3" t="s">
        <v>1</v>
      </c>
      <c r="BX1" s="3" t="s">
        <v>2</v>
      </c>
      <c r="BY1" s="2"/>
      <c r="BZ1" s="5"/>
      <c r="CA1" s="5"/>
      <c r="CB1" s="5"/>
      <c r="CC1" s="2"/>
      <c r="CD1" s="2"/>
      <c r="CE1" s="2"/>
      <c r="CF1" s="3" t="s">
        <v>0</v>
      </c>
      <c r="CG1" s="3" t="s">
        <v>1</v>
      </c>
      <c r="CH1" s="3" t="s">
        <v>2</v>
      </c>
      <c r="CI1" s="2"/>
      <c r="CJ1" s="5"/>
      <c r="CK1" s="5"/>
      <c r="CL1" s="5"/>
      <c r="CM1" s="2"/>
      <c r="CN1" s="2"/>
      <c r="CO1" s="2"/>
      <c r="CP1" s="3" t="s">
        <v>0</v>
      </c>
      <c r="CQ1" s="3" t="s">
        <v>1</v>
      </c>
      <c r="CR1" s="3" t="s">
        <v>2</v>
      </c>
      <c r="CS1" s="2"/>
      <c r="CT1" s="5"/>
      <c r="CU1" s="5"/>
      <c r="CV1" s="5"/>
      <c r="CW1" s="2"/>
      <c r="CX1" s="2"/>
      <c r="CY1" s="2"/>
      <c r="CZ1" s="3" t="s">
        <v>0</v>
      </c>
      <c r="DA1" s="3" t="s">
        <v>1</v>
      </c>
      <c r="DB1" s="3" t="s">
        <v>2</v>
      </c>
      <c r="DC1" s="2"/>
      <c r="DD1" s="5"/>
      <c r="DE1" s="5"/>
      <c r="DF1" s="5"/>
      <c r="DG1" s="2"/>
      <c r="DH1" s="2"/>
      <c r="DI1" s="2"/>
      <c r="DJ1" s="3" t="s">
        <v>0</v>
      </c>
      <c r="DK1" s="3" t="s">
        <v>1</v>
      </c>
      <c r="DL1" s="3" t="s">
        <v>2</v>
      </c>
      <c r="DM1" s="2"/>
      <c r="DN1" s="5"/>
      <c r="DO1" s="5"/>
      <c r="DP1" s="5"/>
      <c r="DQ1" s="5"/>
    </row>
    <row r="2">
      <c r="A2" s="6" t="s">
        <v>3</v>
      </c>
      <c r="B2" s="3" t="s">
        <v>4</v>
      </c>
      <c r="C2" s="7">
        <f>SUM(C3:C7)</f>
        <v>0</v>
      </c>
      <c r="D2" s="7">
        <f>IFERROR('2025'!DJ2-SUM(D3:D58)+I3,SUM(D3:D58)+I3)</f>
        <v>0</v>
      </c>
      <c r="E2" s="7">
        <f>IFERROR('2025'!DK2-SUM(E3:E58) , SUM(E3:E58))</f>
        <v>0</v>
      </c>
      <c r="F2" s="7">
        <f>IFERROR('2025'!DL2-SUM(F3:F58), SUM(F3:F58))</f>
        <v>0</v>
      </c>
      <c r="H2" s="8" t="s">
        <v>5</v>
      </c>
      <c r="I2" s="7">
        <f>SUM(C2,C9,C15,C20,C26,C30,C33,C41,C48,C52,C37,C44,C57)</f>
        <v>0</v>
      </c>
      <c r="K2" s="9" t="s">
        <v>6</v>
      </c>
      <c r="L2" s="3" t="s">
        <v>4</v>
      </c>
      <c r="M2" s="7">
        <f>SUM(M3:M7)</f>
        <v>0</v>
      </c>
      <c r="N2" s="7">
        <f>D2-SUM(N3:N58)+S3</f>
        <v>0</v>
      </c>
      <c r="O2" s="7">
        <f t="shared" ref="O2:P2" si="1">E2-SUM(O3:O58)</f>
        <v>0</v>
      </c>
      <c r="P2" s="7">
        <f t="shared" si="1"/>
        <v>0</v>
      </c>
      <c r="R2" s="8" t="s">
        <v>5</v>
      </c>
      <c r="S2" s="7">
        <f>SUM(M2,M9,M15,M20,M26,M30,M33,M41,M48,M52,M37,M44,M57)</f>
        <v>0</v>
      </c>
      <c r="T2" s="7"/>
      <c r="U2" s="9" t="s">
        <v>7</v>
      </c>
      <c r="V2" s="3" t="s">
        <v>4</v>
      </c>
      <c r="W2" s="7">
        <f>SUM(W3:W7)</f>
        <v>0</v>
      </c>
      <c r="X2" s="7">
        <f>N2-SUM(X3:X58)+AC3</f>
        <v>0</v>
      </c>
      <c r="Y2" s="7">
        <f t="shared" ref="Y2:Z2" si="2">O2-SUM(Y3:Y58)</f>
        <v>0</v>
      </c>
      <c r="Z2" s="7">
        <f t="shared" si="2"/>
        <v>0</v>
      </c>
      <c r="AB2" s="8" t="s">
        <v>5</v>
      </c>
      <c r="AC2" s="7">
        <f>SUM(W2,W9,W15,W20,W26,W30,W33,W41,W48,W52,W37,W44,W57)</f>
        <v>0</v>
      </c>
      <c r="AE2" s="9" t="s">
        <v>8</v>
      </c>
      <c r="AF2" s="3" t="s">
        <v>4</v>
      </c>
      <c r="AG2" s="7">
        <f>SUM(AG3:AG7)</f>
        <v>0</v>
      </c>
      <c r="AH2" s="7">
        <f>X2-SUM(AH3:AH58)+AM3</f>
        <v>0</v>
      </c>
      <c r="AI2" s="7">
        <f t="shared" ref="AI2:AJ2" si="3">Y2-SUM(AI3:AI58)</f>
        <v>0</v>
      </c>
      <c r="AJ2" s="7">
        <f t="shared" si="3"/>
        <v>0</v>
      </c>
      <c r="AL2" s="8" t="s">
        <v>5</v>
      </c>
      <c r="AM2" s="7">
        <f>SUM(AG2,AG9,AG15,AG20,AG26,AG30,AG33,AG41,AG48,AG52,AG37,AG44,AG57)</f>
        <v>0</v>
      </c>
      <c r="AN2" s="2"/>
      <c r="AO2" s="9" t="s">
        <v>9</v>
      </c>
      <c r="AP2" s="3" t="s">
        <v>4</v>
      </c>
      <c r="AQ2" s="7">
        <f>SUM(AQ3:AQ7)</f>
        <v>0</v>
      </c>
      <c r="AR2" s="7">
        <f>AH2-SUM(AR3:AR58)+AW3</f>
        <v>0</v>
      </c>
      <c r="AS2" s="7">
        <f t="shared" ref="AS2:AT2" si="4">AI2-SUM(AS3:AS58)</f>
        <v>0</v>
      </c>
      <c r="AT2" s="7">
        <f t="shared" si="4"/>
        <v>0</v>
      </c>
      <c r="AV2" s="8" t="s">
        <v>5</v>
      </c>
      <c r="AW2" s="7">
        <f>SUM(AQ2,AQ9,AQ15,AQ20,AQ26,AQ30,AQ33,AQ41,AQ48,AQ52,AQ37,AQ44,AQ57)</f>
        <v>0</v>
      </c>
      <c r="AX2" s="7"/>
      <c r="AY2" s="9" t="s">
        <v>10</v>
      </c>
      <c r="AZ2" s="3" t="s">
        <v>4</v>
      </c>
      <c r="BA2" s="7">
        <f>SUM(BA3:BA7)</f>
        <v>0</v>
      </c>
      <c r="BB2" s="7">
        <f>AR2-SUM(BB3:BB58)+BG3</f>
        <v>0</v>
      </c>
      <c r="BC2" s="7">
        <f t="shared" ref="BC2:BD2" si="5">AS2-SUM(BC3:BC58)</f>
        <v>0</v>
      </c>
      <c r="BD2" s="7">
        <f t="shared" si="5"/>
        <v>0</v>
      </c>
      <c r="BF2" s="8" t="s">
        <v>5</v>
      </c>
      <c r="BG2" s="7">
        <f>SUM(BA2,BA9,BA15,BA20,BA26,BA30,BA33,BA41,BA48,BA52,BA37,BA44,BA57)</f>
        <v>0</v>
      </c>
      <c r="BH2" s="7"/>
      <c r="BI2" s="9" t="s">
        <v>11</v>
      </c>
      <c r="BJ2" s="3" t="s">
        <v>4</v>
      </c>
      <c r="BK2" s="7">
        <f>SUM(BK3:BK7)</f>
        <v>0</v>
      </c>
      <c r="BL2" s="7">
        <f>BB2-SUM(BL3:BL58)+BQ3</f>
        <v>0</v>
      </c>
      <c r="BM2" s="7">
        <f t="shared" ref="BM2:BN2" si="6">BC2-SUM(BM3:BM58)</f>
        <v>0</v>
      </c>
      <c r="BN2" s="7">
        <f t="shared" si="6"/>
        <v>0</v>
      </c>
      <c r="BP2" s="8" t="s">
        <v>5</v>
      </c>
      <c r="BQ2" s="7">
        <f>SUM(BK2,BK9,BK15,BK20,BK26,BK30,BK33,BK41,BK48,BK52,BK37,BK44,BK57)</f>
        <v>0</v>
      </c>
      <c r="BR2" s="7"/>
      <c r="BS2" s="9" t="s">
        <v>12</v>
      </c>
      <c r="BT2" s="3" t="s">
        <v>4</v>
      </c>
      <c r="BU2" s="7">
        <f>SUM(BU3:BU7)</f>
        <v>0</v>
      </c>
      <c r="BV2" s="7">
        <f>BL2-SUM(BV3:BV58)+CA3</f>
        <v>0</v>
      </c>
      <c r="BW2" s="7">
        <f t="shared" ref="BW2:BX2" si="7">BM2-SUM(BW3:BW58)</f>
        <v>0</v>
      </c>
      <c r="BX2" s="7">
        <f t="shared" si="7"/>
        <v>0</v>
      </c>
      <c r="BZ2" s="8" t="s">
        <v>5</v>
      </c>
      <c r="CA2" s="7">
        <f>SUM(BU2,BU9,BU15,BU20,BU26,BU30,BU33,BU41,BU48,BU52,BU37,BU44,BU57)</f>
        <v>0</v>
      </c>
      <c r="CB2" s="2"/>
      <c r="CC2" s="9" t="s">
        <v>13</v>
      </c>
      <c r="CD2" s="3" t="s">
        <v>4</v>
      </c>
      <c r="CE2" s="7">
        <f>SUM(CE3:CE7)</f>
        <v>0</v>
      </c>
      <c r="CF2" s="7">
        <f>BV2-SUM(CF3:CF58)+CK3</f>
        <v>0</v>
      </c>
      <c r="CG2" s="7">
        <f t="shared" ref="CG2:CH2" si="8">BW2-SUM(CG3:CG58)</f>
        <v>0</v>
      </c>
      <c r="CH2" s="7">
        <f t="shared" si="8"/>
        <v>0</v>
      </c>
      <c r="CJ2" s="8" t="s">
        <v>5</v>
      </c>
      <c r="CK2" s="7">
        <f>SUM(CE2,CE9,CE15,CE20,CE26,CE30,CE33,CE41,CE48,CE52,CE37,CE44,CE57)</f>
        <v>0</v>
      </c>
      <c r="CL2" s="7"/>
      <c r="CM2" s="9" t="s">
        <v>14</v>
      </c>
      <c r="CN2" s="3" t="s">
        <v>4</v>
      </c>
      <c r="CO2" s="7">
        <f>SUM(CO3:CO7)</f>
        <v>0</v>
      </c>
      <c r="CP2" s="7">
        <f>CF2-SUM(CP3:CP58)+CU3</f>
        <v>0</v>
      </c>
      <c r="CQ2" s="7">
        <f t="shared" ref="CQ2:CR2" si="9">CG2-SUM(CQ3:CQ58)</f>
        <v>0</v>
      </c>
      <c r="CR2" s="7">
        <f t="shared" si="9"/>
        <v>0</v>
      </c>
      <c r="CT2" s="8" t="s">
        <v>5</v>
      </c>
      <c r="CU2" s="7">
        <f>SUM(CO2,CO9,CO15,CO20,CO26,CO30,CO33,CO41,CO48,CO52,CO37,CO44,CO57)</f>
        <v>0</v>
      </c>
      <c r="CV2" s="7"/>
      <c r="CW2" s="9" t="s">
        <v>15</v>
      </c>
      <c r="CX2" s="3" t="s">
        <v>4</v>
      </c>
      <c r="CY2" s="7">
        <f>SUM(CY3:CY7)</f>
        <v>0</v>
      </c>
      <c r="CZ2" s="7">
        <f>CP2-SUM(CZ3:CZ58)+DE3</f>
        <v>0</v>
      </c>
      <c r="DA2" s="7">
        <f t="shared" ref="DA2:DB2" si="10">CQ2-SUM(DA3:DA58)</f>
        <v>0</v>
      </c>
      <c r="DB2" s="7">
        <f t="shared" si="10"/>
        <v>0</v>
      </c>
      <c r="DD2" s="8" t="s">
        <v>5</v>
      </c>
      <c r="DE2" s="7">
        <f>SUM(CY2,CY9,CY15,CY20,CY26,CY30,CY33,CY41,CY48,CY52,CY37,CY44,CY57)</f>
        <v>0</v>
      </c>
      <c r="DF2" s="2"/>
      <c r="DG2" s="9" t="s">
        <v>16</v>
      </c>
      <c r="DH2" s="3" t="s">
        <v>4</v>
      </c>
      <c r="DI2" s="7">
        <f>SUM(DI3:DI7)</f>
        <v>0</v>
      </c>
      <c r="DJ2" s="7">
        <f>CZ2-SUM(DJ3:DJ58)+DO3</f>
        <v>0</v>
      </c>
      <c r="DK2" s="7">
        <f t="shared" ref="DK2:DL2" si="11">DA2-SUM(DK3:DK58)</f>
        <v>0</v>
      </c>
      <c r="DL2" s="7">
        <f t="shared" si="11"/>
        <v>0</v>
      </c>
      <c r="DN2" s="8" t="s">
        <v>5</v>
      </c>
      <c r="DO2" s="7">
        <f>SUM(DI2,DI9,DI15,DI20,DI26,DI30,DI33,DI41,DI48,DI52,DI37,DI44,DI57)</f>
        <v>0</v>
      </c>
      <c r="DP2" s="7"/>
      <c r="DQ2" s="7"/>
    </row>
    <row r="3">
      <c r="A3" s="5"/>
      <c r="B3" s="10" t="s">
        <v>17</v>
      </c>
      <c r="C3" s="7">
        <f t="shared" ref="C3:C7" si="12">SUM(D3:F3)</f>
        <v>0</v>
      </c>
      <c r="D3" s="2"/>
      <c r="E3" s="2"/>
      <c r="F3" s="2"/>
      <c r="H3" s="11" t="s">
        <v>18</v>
      </c>
      <c r="I3" s="5">
        <f>SUM(I4:I6)</f>
        <v>0</v>
      </c>
      <c r="K3" s="5"/>
      <c r="L3" s="10" t="s">
        <v>17</v>
      </c>
      <c r="M3" s="7">
        <f t="shared" ref="M3:M7" si="13">SUM(N3:P3)</f>
        <v>0</v>
      </c>
      <c r="N3" s="2"/>
      <c r="O3" s="2"/>
      <c r="P3" s="2"/>
      <c r="R3" s="11" t="s">
        <v>18</v>
      </c>
      <c r="S3" s="5">
        <f>SUM(S4:S6)</f>
        <v>0</v>
      </c>
      <c r="T3" s="2"/>
      <c r="U3" s="5"/>
      <c r="V3" s="10" t="s">
        <v>17</v>
      </c>
      <c r="W3" s="7">
        <f t="shared" ref="W3:W7" si="14">SUM(X3:Z3)</f>
        <v>0</v>
      </c>
      <c r="X3" s="2"/>
      <c r="Y3" s="2"/>
      <c r="Z3" s="2"/>
      <c r="AB3" s="11" t="s">
        <v>18</v>
      </c>
      <c r="AC3" s="5">
        <f>SUM(AC4:AC6)</f>
        <v>0</v>
      </c>
      <c r="AE3" s="5"/>
      <c r="AF3" s="10" t="s">
        <v>17</v>
      </c>
      <c r="AG3" s="7">
        <f t="shared" ref="AG3:AG7" si="15">SUM(AH3:AJ3)</f>
        <v>0</v>
      </c>
      <c r="AH3" s="2"/>
      <c r="AI3" s="2"/>
      <c r="AJ3" s="2"/>
      <c r="AL3" s="11" t="s">
        <v>18</v>
      </c>
      <c r="AM3" s="5">
        <f>SUM(AM4:AM6)</f>
        <v>0</v>
      </c>
      <c r="AN3" s="2"/>
      <c r="AO3" s="5"/>
      <c r="AP3" s="10" t="s">
        <v>17</v>
      </c>
      <c r="AQ3" s="7">
        <f t="shared" ref="AQ3:AQ7" si="16">SUM(AR3:AT3)</f>
        <v>0</v>
      </c>
      <c r="AR3" s="2"/>
      <c r="AS3" s="2"/>
      <c r="AT3" s="2"/>
      <c r="AV3" s="11" t="s">
        <v>18</v>
      </c>
      <c r="AW3" s="5">
        <f>SUM(AW4:AW6)</f>
        <v>0</v>
      </c>
      <c r="AX3" s="7"/>
      <c r="AY3" s="5"/>
      <c r="AZ3" s="10" t="s">
        <v>17</v>
      </c>
      <c r="BA3" s="7">
        <f t="shared" ref="BA3:BA7" si="17">SUM(BB3:BD3)</f>
        <v>0</v>
      </c>
      <c r="BB3" s="2"/>
      <c r="BC3" s="2"/>
      <c r="BD3" s="2"/>
      <c r="BF3" s="11" t="s">
        <v>18</v>
      </c>
      <c r="BG3" s="5">
        <f>SUM(BG4:BG6)</f>
        <v>0</v>
      </c>
      <c r="BH3" s="7"/>
      <c r="BI3" s="5"/>
      <c r="BJ3" s="10" t="s">
        <v>17</v>
      </c>
      <c r="BK3" s="7">
        <f t="shared" ref="BK3:BK7" si="18">SUM(BL3:BN3)</f>
        <v>0</v>
      </c>
      <c r="BL3" s="2"/>
      <c r="BM3" s="2"/>
      <c r="BN3" s="2"/>
      <c r="BP3" s="11" t="s">
        <v>18</v>
      </c>
      <c r="BQ3" s="5">
        <f>SUM(BQ4:BQ6)</f>
        <v>0</v>
      </c>
      <c r="BR3" s="7"/>
      <c r="BS3" s="5"/>
      <c r="BT3" s="10" t="s">
        <v>17</v>
      </c>
      <c r="BU3" s="7">
        <f t="shared" ref="BU3:BU7" si="19">SUM(BV3:BX3)</f>
        <v>0</v>
      </c>
      <c r="BV3" s="2"/>
      <c r="BW3" s="2"/>
      <c r="BX3" s="2"/>
      <c r="BZ3" s="11" t="s">
        <v>18</v>
      </c>
      <c r="CA3" s="5">
        <f>SUM(CA4:CA6)</f>
        <v>0</v>
      </c>
      <c r="CB3" s="2"/>
      <c r="CC3" s="5"/>
      <c r="CD3" s="10" t="s">
        <v>17</v>
      </c>
      <c r="CE3" s="7">
        <f t="shared" ref="CE3:CE7" si="20">SUM(CF3:CH3)</f>
        <v>0</v>
      </c>
      <c r="CF3" s="2"/>
      <c r="CG3" s="2"/>
      <c r="CH3" s="2"/>
      <c r="CJ3" s="11" t="s">
        <v>18</v>
      </c>
      <c r="CK3" s="5">
        <f>SUM(CK4:CK6)</f>
        <v>0</v>
      </c>
      <c r="CL3" s="7"/>
      <c r="CM3" s="5"/>
      <c r="CN3" s="10" t="s">
        <v>17</v>
      </c>
      <c r="CO3" s="7">
        <f t="shared" ref="CO3:CO7" si="21">SUM(CP3:CR3)</f>
        <v>0</v>
      </c>
      <c r="CP3" s="2"/>
      <c r="CQ3" s="2"/>
      <c r="CR3" s="2"/>
      <c r="CT3" s="11" t="s">
        <v>18</v>
      </c>
      <c r="CU3" s="5">
        <f>SUM(CU4:CU6)</f>
        <v>0</v>
      </c>
      <c r="CV3" s="7"/>
      <c r="CW3" s="5"/>
      <c r="CX3" s="10" t="s">
        <v>17</v>
      </c>
      <c r="CY3" s="7">
        <f t="shared" ref="CY3:CY7" si="22">SUM(CZ3:DB3)</f>
        <v>0</v>
      </c>
      <c r="CZ3" s="2"/>
      <c r="DA3" s="2"/>
      <c r="DB3" s="2"/>
      <c r="DD3" s="11" t="s">
        <v>18</v>
      </c>
      <c r="DE3" s="5">
        <f>SUM(DE4:DE6)</f>
        <v>0</v>
      </c>
      <c r="DF3" s="2"/>
      <c r="DG3" s="5"/>
      <c r="DH3" s="10" t="s">
        <v>17</v>
      </c>
      <c r="DI3" s="7">
        <f t="shared" ref="DI3:DI7" si="23">SUM(DJ3:DL3)</f>
        <v>0</v>
      </c>
      <c r="DJ3" s="2"/>
      <c r="DK3" s="2"/>
      <c r="DL3" s="2"/>
      <c r="DN3" s="11" t="s">
        <v>18</v>
      </c>
      <c r="DO3" s="5">
        <f>SUM(DO4:DO6)</f>
        <v>0</v>
      </c>
      <c r="DP3" s="7"/>
      <c r="DQ3" s="7"/>
    </row>
    <row r="4">
      <c r="A4" s="2"/>
      <c r="B4" s="10" t="s">
        <v>19</v>
      </c>
      <c r="C4" s="7">
        <f t="shared" si="12"/>
        <v>0</v>
      </c>
      <c r="D4" s="2"/>
      <c r="E4" s="2"/>
      <c r="F4" s="2"/>
      <c r="H4" s="12" t="s">
        <v>20</v>
      </c>
      <c r="I4" s="13" t="str">
        <f t="array" ref="I4">IF(TODAY()&gt;=DATE(2026,1,INDIRECT("'Storico Stipendio'!B3")),INDIRECT("'Storico Stipendio'!A3"),)</f>
        <v/>
      </c>
      <c r="K4" s="2"/>
      <c r="L4" s="10" t="s">
        <v>19</v>
      </c>
      <c r="M4" s="7">
        <f t="shared" si="13"/>
        <v>0</v>
      </c>
      <c r="N4" s="2"/>
      <c r="O4" s="2"/>
      <c r="P4" s="2"/>
      <c r="R4" s="12" t="s">
        <v>20</v>
      </c>
      <c r="S4" s="13" t="str">
        <f t="array" ref="S4">IF(TODAY()&gt;=DATE(2026,2,INDIRECT("'Storico Stipendio'!B3")),INDIRECT("'Storico Stipendio'!A3"),)</f>
        <v/>
      </c>
      <c r="T4" s="2"/>
      <c r="U4" s="2"/>
      <c r="V4" s="10" t="s">
        <v>19</v>
      </c>
      <c r="W4" s="7">
        <f t="shared" si="14"/>
        <v>0</v>
      </c>
      <c r="X4" s="2"/>
      <c r="Y4" s="2"/>
      <c r="Z4" s="2"/>
      <c r="AB4" s="12" t="s">
        <v>20</v>
      </c>
      <c r="AC4" s="13" t="str">
        <f t="array" ref="AC4">IF(TODAY()&gt;=DATE(2026,3,INDIRECT("'Storico Stipendio'!B3")),INDIRECT("'Storico Stipendio'!A3"),)</f>
        <v/>
      </c>
      <c r="AD4" s="2"/>
      <c r="AE4" s="2"/>
      <c r="AF4" s="10" t="s">
        <v>19</v>
      </c>
      <c r="AG4" s="7">
        <f t="shared" si="15"/>
        <v>0</v>
      </c>
      <c r="AH4" s="2"/>
      <c r="AI4" s="2"/>
      <c r="AJ4" s="2"/>
      <c r="AL4" s="12" t="s">
        <v>20</v>
      </c>
      <c r="AM4" s="13" t="str">
        <f t="array" ref="AM4">IF(TODAY()&gt;=DATE(2026,4,INDIRECT("'Storico Stipendio'!B3")),INDIRECT("'Storico Stipendio'!A3"),)</f>
        <v/>
      </c>
      <c r="AN4" s="2"/>
      <c r="AO4" s="2"/>
      <c r="AP4" s="10" t="s">
        <v>19</v>
      </c>
      <c r="AQ4" s="7">
        <f t="shared" si="16"/>
        <v>0</v>
      </c>
      <c r="AR4" s="2"/>
      <c r="AS4" s="2"/>
      <c r="AT4" s="2"/>
      <c r="AV4" s="12" t="s">
        <v>20</v>
      </c>
      <c r="AW4" s="13" t="str">
        <f t="array" ref="AW4">IF(TODAY()&gt;=DATE(2026,5,INDIRECT("'Storico Stipendio'!B3")),INDIRECT("'Storico Stipendio'!A3"),)</f>
        <v/>
      </c>
      <c r="AX4" s="5"/>
      <c r="AY4" s="2"/>
      <c r="AZ4" s="10" t="s">
        <v>19</v>
      </c>
      <c r="BA4" s="7">
        <f t="shared" si="17"/>
        <v>0</v>
      </c>
      <c r="BB4" s="2"/>
      <c r="BC4" s="2"/>
      <c r="BD4" s="2"/>
      <c r="BF4" s="12" t="s">
        <v>20</v>
      </c>
      <c r="BG4" s="13" t="str">
        <f t="array" ref="BG4">IF(TODAY()&gt;=DATE(2026,6,INDIRECT("'Storico Stipendio'!B3")),INDIRECT("'Storico Stipendio'!A3"),)</f>
        <v/>
      </c>
      <c r="BH4" s="5"/>
      <c r="BI4" s="2"/>
      <c r="BJ4" s="10" t="s">
        <v>19</v>
      </c>
      <c r="BK4" s="7">
        <f t="shared" si="18"/>
        <v>0</v>
      </c>
      <c r="BL4" s="2"/>
      <c r="BM4" s="2"/>
      <c r="BN4" s="2"/>
      <c r="BP4" s="12" t="s">
        <v>20</v>
      </c>
      <c r="BQ4" s="13" t="str">
        <f t="array" ref="BQ4">IF(TODAY()&gt;=DATE(2026,7,INDIRECT("'Storico Stipendio'!B3")),INDIRECT("'Storico Stipendio'!A3"),)</f>
        <v/>
      </c>
      <c r="BR4" s="5"/>
      <c r="BS4" s="2"/>
      <c r="BT4" s="10" t="s">
        <v>19</v>
      </c>
      <c r="BU4" s="7">
        <f t="shared" si="19"/>
        <v>0</v>
      </c>
      <c r="BV4" s="2"/>
      <c r="BW4" s="2"/>
      <c r="BX4" s="2"/>
      <c r="BZ4" s="12" t="s">
        <v>20</v>
      </c>
      <c r="CA4" s="13" t="str">
        <f t="array" ref="CA4">IF(TODAY()&gt;=DATE(2026,8,INDIRECT("'Storico Stipendio'!B3")),INDIRECT("'Storico Stipendio'!A3"),)</f>
        <v/>
      </c>
      <c r="CB4" s="5"/>
      <c r="CC4" s="2"/>
      <c r="CD4" s="10" t="s">
        <v>19</v>
      </c>
      <c r="CE4" s="7">
        <f t="shared" si="20"/>
        <v>0</v>
      </c>
      <c r="CF4" s="2"/>
      <c r="CG4" s="2"/>
      <c r="CH4" s="2"/>
      <c r="CJ4" s="12" t="s">
        <v>20</v>
      </c>
      <c r="CK4" s="13" t="str">
        <f t="array" ref="CK4">IF(TODAY()&gt;=DATE(2026,9,INDIRECT("'Storico Stipendio'!B3")),INDIRECT("'Storico Stipendio'!A3"),)</f>
        <v/>
      </c>
      <c r="CL4" s="5"/>
      <c r="CM4" s="2"/>
      <c r="CN4" s="10" t="s">
        <v>19</v>
      </c>
      <c r="CO4" s="7">
        <f t="shared" si="21"/>
        <v>0</v>
      </c>
      <c r="CP4" s="2"/>
      <c r="CQ4" s="2"/>
      <c r="CR4" s="2"/>
      <c r="CT4" s="12" t="s">
        <v>20</v>
      </c>
      <c r="CU4" s="13" t="str">
        <f t="array" ref="CU4">IF(TODAY()&gt;=DATE(2026,10,INDIRECT("'Storico Stipendio'!B3")),INDIRECT("'Storico Stipendio'!A3"),)</f>
        <v/>
      </c>
      <c r="CV4" s="5"/>
      <c r="CW4" s="2"/>
      <c r="CX4" s="10" t="s">
        <v>19</v>
      </c>
      <c r="CY4" s="7">
        <f t="shared" si="22"/>
        <v>0</v>
      </c>
      <c r="CZ4" s="2"/>
      <c r="DA4" s="2"/>
      <c r="DB4" s="2"/>
      <c r="DD4" s="12" t="s">
        <v>20</v>
      </c>
      <c r="DE4" s="13" t="str">
        <f t="array" ref="DE4">IF(TODAY()&gt;=DATE(2026,11,INDIRECT("'Storico Stipendio'!B3")),INDIRECT("'Storico Stipendio'!A3"),)</f>
        <v/>
      </c>
      <c r="DF4" s="5"/>
      <c r="DG4" s="2"/>
      <c r="DH4" s="10" t="s">
        <v>19</v>
      </c>
      <c r="DI4" s="7">
        <f t="shared" si="23"/>
        <v>0</v>
      </c>
      <c r="DJ4" s="2"/>
      <c r="DK4" s="2"/>
      <c r="DL4" s="2"/>
      <c r="DN4" s="12" t="s">
        <v>20</v>
      </c>
      <c r="DO4" s="13" t="str">
        <f t="array" ref="DO4">IF(TODAY()&gt;=DATE(2026,12,INDIRECT("'Storico Stipendio'!B3")),INDIRECT("'Storico Stipendio'!A3"),)</f>
        <v/>
      </c>
    </row>
    <row r="5">
      <c r="A5" s="2"/>
      <c r="B5" s="10" t="s">
        <v>21</v>
      </c>
      <c r="C5" s="7">
        <f t="shared" si="12"/>
        <v>0</v>
      </c>
      <c r="D5" s="2"/>
      <c r="E5" s="2"/>
      <c r="F5" s="2"/>
      <c r="H5" s="14" t="s">
        <v>22</v>
      </c>
      <c r="K5" s="2"/>
      <c r="L5" s="10" t="s">
        <v>21</v>
      </c>
      <c r="M5" s="7">
        <f t="shared" si="13"/>
        <v>0</v>
      </c>
      <c r="N5" s="2"/>
      <c r="O5" s="2"/>
      <c r="P5" s="2"/>
      <c r="R5" s="14" t="s">
        <v>22</v>
      </c>
      <c r="S5" s="14"/>
      <c r="T5" s="2"/>
      <c r="U5" s="2"/>
      <c r="V5" s="10" t="s">
        <v>21</v>
      </c>
      <c r="W5" s="7">
        <f t="shared" si="14"/>
        <v>0</v>
      </c>
      <c r="X5" s="2"/>
      <c r="Y5" s="2"/>
      <c r="Z5" s="2"/>
      <c r="AB5" s="14" t="s">
        <v>22</v>
      </c>
      <c r="AD5" s="2"/>
      <c r="AE5" s="2"/>
      <c r="AF5" s="10" t="s">
        <v>21</v>
      </c>
      <c r="AG5" s="7">
        <f t="shared" si="15"/>
        <v>0</v>
      </c>
      <c r="AH5" s="2"/>
      <c r="AI5" s="2"/>
      <c r="AJ5" s="2"/>
      <c r="AL5" s="14" t="s">
        <v>22</v>
      </c>
      <c r="AN5" s="2"/>
      <c r="AO5" s="2"/>
      <c r="AP5" s="10" t="s">
        <v>21</v>
      </c>
      <c r="AQ5" s="7">
        <f t="shared" si="16"/>
        <v>0</v>
      </c>
      <c r="AR5" s="2"/>
      <c r="AS5" s="2"/>
      <c r="AT5" s="2"/>
      <c r="AV5" s="14" t="s">
        <v>22</v>
      </c>
      <c r="AX5" s="5"/>
      <c r="AY5" s="2"/>
      <c r="AZ5" s="10" t="s">
        <v>21</v>
      </c>
      <c r="BA5" s="7">
        <f t="shared" si="17"/>
        <v>0</v>
      </c>
      <c r="BB5" s="2"/>
      <c r="BC5" s="2"/>
      <c r="BD5" s="2"/>
      <c r="BF5" s="14" t="s">
        <v>22</v>
      </c>
      <c r="BH5" s="5"/>
      <c r="BI5" s="2"/>
      <c r="BJ5" s="10" t="s">
        <v>21</v>
      </c>
      <c r="BK5" s="7">
        <f t="shared" si="18"/>
        <v>0</v>
      </c>
      <c r="BL5" s="2"/>
      <c r="BM5" s="2"/>
      <c r="BN5" s="2"/>
      <c r="BP5" s="14" t="s">
        <v>22</v>
      </c>
      <c r="BR5" s="5"/>
      <c r="BS5" s="2"/>
      <c r="BT5" s="10" t="s">
        <v>21</v>
      </c>
      <c r="BU5" s="7">
        <f t="shared" si="19"/>
        <v>0</v>
      </c>
      <c r="BV5" s="2"/>
      <c r="BW5" s="2"/>
      <c r="BX5" s="2"/>
      <c r="BZ5" s="14" t="s">
        <v>22</v>
      </c>
      <c r="CB5" s="5"/>
      <c r="CC5" s="2"/>
      <c r="CD5" s="10" t="s">
        <v>21</v>
      </c>
      <c r="CE5" s="7">
        <f t="shared" si="20"/>
        <v>0</v>
      </c>
      <c r="CF5" s="2"/>
      <c r="CG5" s="2"/>
      <c r="CH5" s="2"/>
      <c r="CJ5" s="14" t="s">
        <v>22</v>
      </c>
      <c r="CL5" s="5"/>
      <c r="CM5" s="2"/>
      <c r="CN5" s="10" t="s">
        <v>21</v>
      </c>
      <c r="CO5" s="7">
        <f t="shared" si="21"/>
        <v>0</v>
      </c>
      <c r="CP5" s="2"/>
      <c r="CQ5" s="2"/>
      <c r="CR5" s="2"/>
      <c r="CT5" s="14" t="s">
        <v>22</v>
      </c>
      <c r="CV5" s="5"/>
      <c r="CW5" s="2"/>
      <c r="CX5" s="10" t="s">
        <v>21</v>
      </c>
      <c r="CY5" s="7">
        <f t="shared" si="22"/>
        <v>0</v>
      </c>
      <c r="CZ5" s="2"/>
      <c r="DA5" s="2"/>
      <c r="DB5" s="2"/>
      <c r="DD5" s="14" t="s">
        <v>22</v>
      </c>
      <c r="DF5" s="5"/>
      <c r="DG5" s="2"/>
      <c r="DH5" s="10" t="s">
        <v>21</v>
      </c>
      <c r="DI5" s="7">
        <f t="shared" si="23"/>
        <v>0</v>
      </c>
      <c r="DJ5" s="2"/>
      <c r="DK5" s="2"/>
      <c r="DL5" s="2"/>
      <c r="DN5" s="14" t="s">
        <v>22</v>
      </c>
    </row>
    <row r="6">
      <c r="A6" s="2"/>
      <c r="B6" s="10" t="s">
        <v>23</v>
      </c>
      <c r="C6" s="7">
        <f t="shared" si="12"/>
        <v>0</v>
      </c>
      <c r="D6" s="2"/>
      <c r="E6" s="2"/>
      <c r="F6" s="2"/>
      <c r="H6" s="12" t="s">
        <v>24</v>
      </c>
      <c r="I6" s="5"/>
      <c r="K6" s="2"/>
      <c r="L6" s="10" t="s">
        <v>23</v>
      </c>
      <c r="M6" s="7">
        <f t="shared" si="13"/>
        <v>0</v>
      </c>
      <c r="N6" s="2"/>
      <c r="O6" s="2"/>
      <c r="P6" s="2"/>
      <c r="R6" s="12" t="s">
        <v>24</v>
      </c>
      <c r="S6" s="5"/>
      <c r="T6" s="2"/>
      <c r="U6" s="2"/>
      <c r="V6" s="10" t="s">
        <v>23</v>
      </c>
      <c r="W6" s="7">
        <f t="shared" si="14"/>
        <v>0</v>
      </c>
      <c r="X6" s="2"/>
      <c r="Y6" s="2"/>
      <c r="Z6" s="2"/>
      <c r="AB6" s="12" t="s">
        <v>24</v>
      </c>
      <c r="AC6" s="5"/>
      <c r="AD6" s="2"/>
      <c r="AE6" s="2"/>
      <c r="AF6" s="10" t="s">
        <v>23</v>
      </c>
      <c r="AG6" s="7">
        <f t="shared" si="15"/>
        <v>0</v>
      </c>
      <c r="AH6" s="2"/>
      <c r="AI6" s="2"/>
      <c r="AJ6" s="2"/>
      <c r="AL6" s="12" t="s">
        <v>24</v>
      </c>
      <c r="AM6" s="5"/>
      <c r="AN6" s="2"/>
      <c r="AO6" s="2"/>
      <c r="AP6" s="10" t="s">
        <v>23</v>
      </c>
      <c r="AQ6" s="7">
        <f t="shared" si="16"/>
        <v>0</v>
      </c>
      <c r="AR6" s="2"/>
      <c r="AS6" s="2"/>
      <c r="AT6" s="2"/>
      <c r="AV6" s="12" t="s">
        <v>24</v>
      </c>
      <c r="AW6" s="5"/>
      <c r="AX6" s="5"/>
      <c r="AY6" s="2"/>
      <c r="AZ6" s="10" t="s">
        <v>23</v>
      </c>
      <c r="BA6" s="7">
        <f t="shared" si="17"/>
        <v>0</v>
      </c>
      <c r="BB6" s="2"/>
      <c r="BC6" s="2"/>
      <c r="BD6" s="2"/>
      <c r="BF6" s="12" t="s">
        <v>24</v>
      </c>
      <c r="BG6" s="5"/>
      <c r="BH6" s="5"/>
      <c r="BI6" s="2"/>
      <c r="BJ6" s="10" t="s">
        <v>23</v>
      </c>
      <c r="BK6" s="7">
        <f t="shared" si="18"/>
        <v>0</v>
      </c>
      <c r="BL6" s="2"/>
      <c r="BM6" s="2"/>
      <c r="BN6" s="2"/>
      <c r="BP6" s="12" t="s">
        <v>24</v>
      </c>
      <c r="BQ6" s="5"/>
      <c r="BR6" s="5"/>
      <c r="BS6" s="2"/>
      <c r="BT6" s="10" t="s">
        <v>23</v>
      </c>
      <c r="BU6" s="7">
        <f t="shared" si="19"/>
        <v>0</v>
      </c>
      <c r="BV6" s="2"/>
      <c r="BW6" s="2"/>
      <c r="BX6" s="2"/>
      <c r="BZ6" s="12" t="s">
        <v>24</v>
      </c>
      <c r="CA6" s="5"/>
      <c r="CB6" s="5"/>
      <c r="CC6" s="2"/>
      <c r="CD6" s="10" t="s">
        <v>23</v>
      </c>
      <c r="CE6" s="7">
        <f t="shared" si="20"/>
        <v>0</v>
      </c>
      <c r="CF6" s="2"/>
      <c r="CG6" s="2"/>
      <c r="CH6" s="2"/>
      <c r="CJ6" s="12" t="s">
        <v>24</v>
      </c>
      <c r="CK6" s="5"/>
      <c r="CL6" s="5"/>
      <c r="CM6" s="2"/>
      <c r="CN6" s="10" t="s">
        <v>23</v>
      </c>
      <c r="CO6" s="7">
        <f t="shared" si="21"/>
        <v>0</v>
      </c>
      <c r="CP6" s="2"/>
      <c r="CQ6" s="2"/>
      <c r="CR6" s="2"/>
      <c r="CT6" s="12" t="s">
        <v>24</v>
      </c>
      <c r="CU6" s="5"/>
      <c r="CV6" s="5"/>
      <c r="CW6" s="2"/>
      <c r="CX6" s="10" t="s">
        <v>23</v>
      </c>
      <c r="CY6" s="7">
        <f t="shared" si="22"/>
        <v>0</v>
      </c>
      <c r="CZ6" s="2"/>
      <c r="DA6" s="2"/>
      <c r="DB6" s="2"/>
      <c r="DD6" s="12" t="s">
        <v>24</v>
      </c>
      <c r="DE6" s="5"/>
      <c r="DF6" s="5"/>
      <c r="DG6" s="2"/>
      <c r="DH6" s="10" t="s">
        <v>23</v>
      </c>
      <c r="DI6" s="7">
        <f t="shared" si="23"/>
        <v>0</v>
      </c>
      <c r="DJ6" s="2"/>
      <c r="DK6" s="2"/>
      <c r="DL6" s="2"/>
      <c r="DN6" s="12" t="s">
        <v>24</v>
      </c>
      <c r="DO6" s="5"/>
    </row>
    <row r="7">
      <c r="A7" s="2"/>
      <c r="B7" s="10" t="s">
        <v>25</v>
      </c>
      <c r="C7" s="7">
        <f t="shared" si="12"/>
        <v>0</v>
      </c>
      <c r="D7" s="2"/>
      <c r="E7" s="2"/>
      <c r="F7" s="2"/>
      <c r="G7" s="2"/>
      <c r="H7" s="8" t="s">
        <v>26</v>
      </c>
      <c r="I7" s="7">
        <f>ROUND(IF(I3&gt;0, I2/I4*100,),2)</f>
        <v>0</v>
      </c>
      <c r="K7" s="2"/>
      <c r="L7" s="10" t="s">
        <v>25</v>
      </c>
      <c r="M7" s="7">
        <f t="shared" si="13"/>
        <v>0</v>
      </c>
      <c r="N7" s="2"/>
      <c r="O7" s="2"/>
      <c r="P7" s="2"/>
      <c r="Q7" s="2"/>
      <c r="R7" s="8" t="s">
        <v>26</v>
      </c>
      <c r="S7" s="7">
        <f>ROUND(IF(S3&gt;0, S2/S4*100,),2)</f>
        <v>0</v>
      </c>
      <c r="T7" s="2"/>
      <c r="U7" s="2"/>
      <c r="V7" s="10" t="s">
        <v>25</v>
      </c>
      <c r="W7" s="7">
        <f t="shared" si="14"/>
        <v>0</v>
      </c>
      <c r="X7" s="2"/>
      <c r="Y7" s="2"/>
      <c r="Z7" s="2"/>
      <c r="AA7" s="2"/>
      <c r="AB7" s="8" t="s">
        <v>26</v>
      </c>
      <c r="AC7" s="7">
        <f>ROUND(IF(AC3&gt;0, AC2/AC4*100,),2)</f>
        <v>0</v>
      </c>
      <c r="AD7" s="2"/>
      <c r="AE7" s="2"/>
      <c r="AF7" s="10" t="s">
        <v>25</v>
      </c>
      <c r="AG7" s="7">
        <f t="shared" si="15"/>
        <v>0</v>
      </c>
      <c r="AH7" s="2"/>
      <c r="AI7" s="2"/>
      <c r="AJ7" s="2"/>
      <c r="AK7" s="2"/>
      <c r="AL7" s="8" t="s">
        <v>26</v>
      </c>
      <c r="AM7" s="7">
        <f>ROUND(IF(AM3&gt;0, AM2/AM4*100,),2)</f>
        <v>0</v>
      </c>
      <c r="AN7" s="2"/>
      <c r="AO7" s="2"/>
      <c r="AP7" s="10" t="s">
        <v>25</v>
      </c>
      <c r="AQ7" s="7">
        <f t="shared" si="16"/>
        <v>0</v>
      </c>
      <c r="AR7" s="2"/>
      <c r="AS7" s="2"/>
      <c r="AT7" s="2"/>
      <c r="AU7" s="2"/>
      <c r="AV7" s="8" t="s">
        <v>26</v>
      </c>
      <c r="AW7" s="7">
        <f>ROUND(IF(AW3&gt;0, AW2/AW4*100,),2)</f>
        <v>0</v>
      </c>
      <c r="AX7" s="5"/>
      <c r="AY7" s="2"/>
      <c r="AZ7" s="10" t="s">
        <v>25</v>
      </c>
      <c r="BA7" s="7">
        <f t="shared" si="17"/>
        <v>0</v>
      </c>
      <c r="BB7" s="2"/>
      <c r="BC7" s="2"/>
      <c r="BD7" s="2"/>
      <c r="BE7" s="2"/>
      <c r="BF7" s="8" t="s">
        <v>26</v>
      </c>
      <c r="BG7" s="7">
        <f>ROUND(IF(BG3&gt;0, BG2/BG4*100,),2)</f>
        <v>0</v>
      </c>
      <c r="BH7" s="5"/>
      <c r="BI7" s="2"/>
      <c r="BJ7" s="10" t="s">
        <v>25</v>
      </c>
      <c r="BK7" s="7">
        <f t="shared" si="18"/>
        <v>0</v>
      </c>
      <c r="BL7" s="2"/>
      <c r="BM7" s="2"/>
      <c r="BN7" s="2"/>
      <c r="BO7" s="2"/>
      <c r="BP7" s="8" t="s">
        <v>26</v>
      </c>
      <c r="BQ7" s="7">
        <f>ROUND(IF(BQ3&gt;0, BQ2/BQ4*100,),2)</f>
        <v>0</v>
      </c>
      <c r="BR7" s="5"/>
      <c r="BS7" s="2"/>
      <c r="BT7" s="10" t="s">
        <v>25</v>
      </c>
      <c r="BU7" s="7">
        <f t="shared" si="19"/>
        <v>0</v>
      </c>
      <c r="BV7" s="2"/>
      <c r="BW7" s="2"/>
      <c r="BX7" s="2"/>
      <c r="BY7" s="2"/>
      <c r="BZ7" s="8" t="s">
        <v>26</v>
      </c>
      <c r="CA7" s="7">
        <f>ROUND(IF(CA3&gt;0, CA2/CA4*100,),2)</f>
        <v>0</v>
      </c>
      <c r="CB7" s="5"/>
      <c r="CC7" s="2"/>
      <c r="CD7" s="10" t="s">
        <v>25</v>
      </c>
      <c r="CE7" s="7">
        <f t="shared" si="20"/>
        <v>0</v>
      </c>
      <c r="CF7" s="2"/>
      <c r="CG7" s="2"/>
      <c r="CH7" s="2"/>
      <c r="CI7" s="2"/>
      <c r="CJ7" s="8" t="s">
        <v>26</v>
      </c>
      <c r="CK7" s="7">
        <f>ROUND(IF(CK3&gt;0, CK2/CK4*100,),2)</f>
        <v>0</v>
      </c>
      <c r="CL7" s="5"/>
      <c r="CM7" s="2"/>
      <c r="CN7" s="10" t="s">
        <v>25</v>
      </c>
      <c r="CO7" s="7">
        <f t="shared" si="21"/>
        <v>0</v>
      </c>
      <c r="CP7" s="2"/>
      <c r="CQ7" s="2"/>
      <c r="CR7" s="2"/>
      <c r="CS7" s="2"/>
      <c r="CT7" s="8" t="s">
        <v>26</v>
      </c>
      <c r="CU7" s="7">
        <f>ROUND(IF(CU3&gt;0, CU2/CU4*100,),2)</f>
        <v>0</v>
      </c>
      <c r="CV7" s="5"/>
      <c r="CW7" s="2"/>
      <c r="CX7" s="10" t="s">
        <v>25</v>
      </c>
      <c r="CY7" s="7">
        <f t="shared" si="22"/>
        <v>0</v>
      </c>
      <c r="CZ7" s="2"/>
      <c r="DA7" s="2"/>
      <c r="DB7" s="2"/>
      <c r="DC7" s="2"/>
      <c r="DD7" s="8" t="s">
        <v>26</v>
      </c>
      <c r="DE7" s="7">
        <f>ROUND(IF(DE3&gt;0, DE2/DE4*100,),2)</f>
        <v>0</v>
      </c>
      <c r="DF7" s="5"/>
      <c r="DG7" s="2"/>
      <c r="DH7" s="10" t="s">
        <v>25</v>
      </c>
      <c r="DI7" s="7">
        <f t="shared" si="23"/>
        <v>0</v>
      </c>
      <c r="DJ7" s="2"/>
      <c r="DK7" s="2"/>
      <c r="DL7" s="2"/>
      <c r="DM7" s="2"/>
      <c r="DN7" s="8" t="s">
        <v>26</v>
      </c>
      <c r="DO7" s="7">
        <f>ROUND(IF(DO3&gt;0, DO2/DO4*100,),2)</f>
        <v>0</v>
      </c>
    </row>
    <row r="8">
      <c r="D8" s="2"/>
      <c r="E8" s="2"/>
      <c r="F8" s="2"/>
      <c r="G8" s="2"/>
      <c r="N8" s="2"/>
      <c r="O8" s="2"/>
      <c r="P8" s="2"/>
      <c r="Q8" s="2"/>
      <c r="T8" s="2"/>
      <c r="X8" s="2"/>
      <c r="Y8" s="2"/>
      <c r="Z8" s="2"/>
      <c r="AA8" s="2"/>
      <c r="AD8" s="2"/>
      <c r="AE8" s="5"/>
      <c r="AH8" s="2"/>
      <c r="AI8" s="2"/>
      <c r="AJ8" s="2"/>
      <c r="AK8" s="2"/>
      <c r="AN8" s="2"/>
      <c r="AO8" s="5"/>
      <c r="AR8" s="2"/>
      <c r="AS8" s="2"/>
      <c r="AT8" s="2"/>
      <c r="AU8" s="2"/>
      <c r="AX8" s="5"/>
      <c r="AY8" s="5"/>
      <c r="BB8" s="2"/>
      <c r="BC8" s="2"/>
      <c r="BD8" s="2"/>
      <c r="BE8" s="2"/>
      <c r="BH8" s="5"/>
      <c r="BI8" s="5"/>
      <c r="BL8" s="2"/>
      <c r="BM8" s="2"/>
      <c r="BN8" s="2"/>
      <c r="BO8" s="2"/>
      <c r="BR8" s="5"/>
      <c r="BS8" s="5"/>
      <c r="BV8" s="2"/>
      <c r="BW8" s="2"/>
      <c r="BX8" s="2"/>
      <c r="BY8" s="2"/>
      <c r="CB8" s="5"/>
      <c r="CC8" s="5"/>
      <c r="CF8" s="2"/>
      <c r="CG8" s="2"/>
      <c r="CH8" s="2"/>
      <c r="CI8" s="2"/>
      <c r="CL8" s="5"/>
      <c r="CM8" s="5"/>
      <c r="CP8" s="2"/>
      <c r="CQ8" s="2"/>
      <c r="CR8" s="2"/>
      <c r="CS8" s="2"/>
      <c r="CV8" s="5"/>
      <c r="CW8" s="5"/>
      <c r="CZ8" s="2"/>
      <c r="DA8" s="2"/>
      <c r="DB8" s="2"/>
      <c r="DC8" s="2"/>
      <c r="DF8" s="5"/>
      <c r="DG8" s="5"/>
      <c r="DJ8" s="2"/>
      <c r="DK8" s="2"/>
      <c r="DL8" s="2"/>
      <c r="DM8" s="2"/>
    </row>
    <row r="9">
      <c r="B9" s="3" t="s">
        <v>27</v>
      </c>
      <c r="C9" s="7">
        <f>SUM(C10:C13)</f>
        <v>0</v>
      </c>
      <c r="D9" s="7"/>
      <c r="E9" s="2"/>
      <c r="F9" s="2"/>
      <c r="G9" s="2"/>
      <c r="L9" s="3" t="s">
        <v>27</v>
      </c>
      <c r="M9" s="7">
        <f>SUM(M10:M13)</f>
        <v>0</v>
      </c>
      <c r="N9" s="2"/>
      <c r="O9" s="2"/>
      <c r="P9" s="2"/>
      <c r="Q9" s="2"/>
      <c r="T9" s="2"/>
      <c r="V9" s="3" t="s">
        <v>27</v>
      </c>
      <c r="W9" s="7">
        <f>SUM(W10:W13)</f>
        <v>0</v>
      </c>
      <c r="X9" s="2"/>
      <c r="Y9" s="2"/>
      <c r="Z9" s="2"/>
      <c r="AA9" s="2"/>
      <c r="AD9" s="2"/>
      <c r="AE9" s="5"/>
      <c r="AF9" s="3" t="s">
        <v>27</v>
      </c>
      <c r="AG9" s="7">
        <f>SUM(AG10:AG13)</f>
        <v>0</v>
      </c>
      <c r="AH9" s="2"/>
      <c r="AI9" s="2"/>
      <c r="AJ9" s="2"/>
      <c r="AK9" s="2"/>
      <c r="AN9" s="2"/>
      <c r="AO9" s="5"/>
      <c r="AP9" s="3" t="s">
        <v>27</v>
      </c>
      <c r="AQ9" s="7">
        <f>SUM(AQ10:AQ13)</f>
        <v>0</v>
      </c>
      <c r="AR9" s="2"/>
      <c r="AS9" s="2"/>
      <c r="AT9" s="2"/>
      <c r="AU9" s="2"/>
      <c r="AX9" s="5"/>
      <c r="AY9" s="5"/>
      <c r="AZ9" s="3" t="s">
        <v>27</v>
      </c>
      <c r="BA9" s="7">
        <f>SUM(BA10:BA13)</f>
        <v>0</v>
      </c>
      <c r="BB9" s="2"/>
      <c r="BC9" s="2"/>
      <c r="BD9" s="2"/>
      <c r="BE9" s="2"/>
      <c r="BH9" s="5"/>
      <c r="BI9" s="5"/>
      <c r="BJ9" s="3" t="s">
        <v>27</v>
      </c>
      <c r="BK9" s="7">
        <f>SUM(BK10:BK13)</f>
        <v>0</v>
      </c>
      <c r="BL9" s="2"/>
      <c r="BM9" s="2"/>
      <c r="BN9" s="2"/>
      <c r="BO9" s="2"/>
      <c r="BR9" s="5"/>
      <c r="BS9" s="5"/>
      <c r="BT9" s="3" t="s">
        <v>27</v>
      </c>
      <c r="BU9" s="7">
        <f>SUM(BU10:BU13)</f>
        <v>0</v>
      </c>
      <c r="BV9" s="2"/>
      <c r="BW9" s="2"/>
      <c r="BX9" s="2"/>
      <c r="BY9" s="2"/>
      <c r="CB9" s="5"/>
      <c r="CC9" s="5"/>
      <c r="CD9" s="3" t="s">
        <v>27</v>
      </c>
      <c r="CE9" s="7">
        <f>SUM(CE10:CE13)</f>
        <v>0</v>
      </c>
      <c r="CF9" s="2"/>
      <c r="CG9" s="2"/>
      <c r="CH9" s="2"/>
      <c r="CI9" s="2"/>
      <c r="CL9" s="5"/>
      <c r="CM9" s="5"/>
      <c r="CN9" s="3" t="s">
        <v>27</v>
      </c>
      <c r="CO9" s="7">
        <f>SUM(CO10:CO13)</f>
        <v>0</v>
      </c>
      <c r="CP9" s="2"/>
      <c r="CQ9" s="2"/>
      <c r="CR9" s="2"/>
      <c r="CS9" s="2"/>
      <c r="CV9" s="5"/>
      <c r="CW9" s="5"/>
      <c r="CX9" s="3" t="s">
        <v>27</v>
      </c>
      <c r="CY9" s="7">
        <f>SUM(CY10:CY13)</f>
        <v>0</v>
      </c>
      <c r="CZ9" s="2"/>
      <c r="DA9" s="2"/>
      <c r="DB9" s="2"/>
      <c r="DC9" s="2"/>
      <c r="DF9" s="5"/>
      <c r="DG9" s="5"/>
      <c r="DH9" s="3" t="s">
        <v>27</v>
      </c>
      <c r="DI9" s="7">
        <f>SUM(DI10:DI13)</f>
        <v>0</v>
      </c>
      <c r="DJ9" s="2"/>
      <c r="DK9" s="2"/>
      <c r="DL9" s="2"/>
      <c r="DM9" s="2"/>
    </row>
    <row r="10">
      <c r="B10" s="10" t="s">
        <v>28</v>
      </c>
      <c r="C10" s="7">
        <f t="shared" ref="C10:C13" si="24">SUM(D10:F10)</f>
        <v>0</v>
      </c>
      <c r="D10" s="14" t="str">
        <f>C63</f>
        <v/>
      </c>
      <c r="L10" s="10" t="s">
        <v>28</v>
      </c>
      <c r="M10" s="7">
        <f t="shared" ref="M10:M13" si="25">SUM(N10:P10)</f>
        <v>0</v>
      </c>
      <c r="N10" s="14" t="str">
        <f>M63</f>
        <v/>
      </c>
      <c r="V10" s="10" t="s">
        <v>28</v>
      </c>
      <c r="W10" s="7">
        <f t="shared" ref="W10:W13" si="26">SUM(X10:Z10)</f>
        <v>0</v>
      </c>
      <c r="X10" s="14" t="str">
        <f>W63</f>
        <v/>
      </c>
      <c r="AE10" s="5"/>
      <c r="AF10" s="10" t="s">
        <v>28</v>
      </c>
      <c r="AG10" s="7">
        <f t="shared" ref="AG10:AG13" si="27">SUM(AH10:AJ10)</f>
        <v>0</v>
      </c>
      <c r="AH10" s="14" t="str">
        <f>AG63</f>
        <v/>
      </c>
      <c r="AO10" s="5"/>
      <c r="AP10" s="10" t="s">
        <v>28</v>
      </c>
      <c r="AQ10" s="7">
        <f t="shared" ref="AQ10:AQ13" si="28">SUM(AR10:AT10)</f>
        <v>0</v>
      </c>
      <c r="AR10" s="14" t="str">
        <f>AQ63</f>
        <v/>
      </c>
      <c r="AX10" s="5"/>
      <c r="AY10" s="5"/>
      <c r="AZ10" s="10" t="s">
        <v>28</v>
      </c>
      <c r="BA10" s="7">
        <f t="shared" ref="BA10:BA13" si="29">SUM(BB10:BD10)</f>
        <v>0</v>
      </c>
      <c r="BB10" s="14" t="str">
        <f>BA63</f>
        <v/>
      </c>
      <c r="BH10" s="5"/>
      <c r="BI10" s="5"/>
      <c r="BJ10" s="10" t="s">
        <v>28</v>
      </c>
      <c r="BK10" s="7">
        <f t="shared" ref="BK10:BK13" si="30">SUM(BL10:BN10)</f>
        <v>0</v>
      </c>
      <c r="BL10" s="14" t="str">
        <f>BK63</f>
        <v/>
      </c>
      <c r="BR10" s="5"/>
      <c r="BS10" s="5"/>
      <c r="BT10" s="10" t="s">
        <v>28</v>
      </c>
      <c r="BU10" s="7">
        <f t="shared" ref="BU10:BU13" si="31">SUM(BV10:BX10)</f>
        <v>0</v>
      </c>
      <c r="BV10" s="14" t="str">
        <f>BU63</f>
        <v/>
      </c>
      <c r="CB10" s="5"/>
      <c r="CC10" s="5"/>
      <c r="CD10" s="10" t="s">
        <v>28</v>
      </c>
      <c r="CE10" s="7">
        <f t="shared" ref="CE10:CE13" si="32">SUM(CF10:CH10)</f>
        <v>0</v>
      </c>
      <c r="CF10" s="14" t="str">
        <f>CE63</f>
        <v/>
      </c>
      <c r="CL10" s="5"/>
      <c r="CM10" s="5"/>
      <c r="CN10" s="10" t="s">
        <v>28</v>
      </c>
      <c r="CO10" s="7">
        <f t="shared" ref="CO10:CO13" si="33">SUM(CP10:CR10)</f>
        <v>0</v>
      </c>
      <c r="CP10" s="14" t="str">
        <f>CO63</f>
        <v/>
      </c>
      <c r="CV10" s="5"/>
      <c r="CW10" s="5"/>
      <c r="CX10" s="10" t="s">
        <v>28</v>
      </c>
      <c r="CY10" s="7">
        <f t="shared" ref="CY10:CY13" si="34">SUM(CZ10:DB10)</f>
        <v>0</v>
      </c>
      <c r="CZ10" s="14" t="str">
        <f>CY63</f>
        <v/>
      </c>
      <c r="DF10" s="5"/>
      <c r="DG10" s="5"/>
      <c r="DH10" s="10" t="s">
        <v>28</v>
      </c>
      <c r="DI10" s="7">
        <f t="shared" ref="DI10:DI13" si="35">SUM(DJ10:DL10)</f>
        <v>0</v>
      </c>
      <c r="DJ10" s="14" t="str">
        <f>DI63</f>
        <v/>
      </c>
    </row>
    <row r="11">
      <c r="B11" s="10" t="s">
        <v>29</v>
      </c>
      <c r="C11" s="7">
        <f t="shared" si="24"/>
        <v>0</v>
      </c>
      <c r="L11" s="10" t="s">
        <v>29</v>
      </c>
      <c r="M11" s="7">
        <f t="shared" si="25"/>
        <v>0</v>
      </c>
      <c r="V11" s="10" t="s">
        <v>29</v>
      </c>
      <c r="W11" s="7">
        <f t="shared" si="26"/>
        <v>0</v>
      </c>
      <c r="AE11" s="5"/>
      <c r="AF11" s="10" t="s">
        <v>29</v>
      </c>
      <c r="AG11" s="7">
        <f t="shared" si="27"/>
        <v>0</v>
      </c>
      <c r="AO11" s="5"/>
      <c r="AP11" s="10" t="s">
        <v>29</v>
      </c>
      <c r="AQ11" s="7">
        <f t="shared" si="28"/>
        <v>0</v>
      </c>
      <c r="AX11" s="5"/>
      <c r="AY11" s="5"/>
      <c r="AZ11" s="10" t="s">
        <v>29</v>
      </c>
      <c r="BA11" s="7">
        <f t="shared" si="29"/>
        <v>0</v>
      </c>
      <c r="BH11" s="5"/>
      <c r="BI11" s="5"/>
      <c r="BJ11" s="10" t="s">
        <v>29</v>
      </c>
      <c r="BK11" s="7">
        <f t="shared" si="30"/>
        <v>0</v>
      </c>
      <c r="BR11" s="5"/>
      <c r="BS11" s="5"/>
      <c r="BT11" s="10" t="s">
        <v>29</v>
      </c>
      <c r="BU11" s="7">
        <f t="shared" si="31"/>
        <v>0</v>
      </c>
      <c r="CB11" s="5"/>
      <c r="CC11" s="5"/>
      <c r="CD11" s="10" t="s">
        <v>29</v>
      </c>
      <c r="CE11" s="7">
        <f t="shared" si="32"/>
        <v>0</v>
      </c>
      <c r="CL11" s="5"/>
      <c r="CM11" s="5"/>
      <c r="CN11" s="10" t="s">
        <v>29</v>
      </c>
      <c r="CO11" s="7">
        <f t="shared" si="33"/>
        <v>0</v>
      </c>
      <c r="CV11" s="5"/>
      <c r="CW11" s="5"/>
      <c r="CX11" s="10" t="s">
        <v>29</v>
      </c>
      <c r="CY11" s="7">
        <f t="shared" si="34"/>
        <v>0</v>
      </c>
      <c r="DF11" s="5"/>
      <c r="DG11" s="5"/>
      <c r="DH11" s="10" t="s">
        <v>29</v>
      </c>
      <c r="DI11" s="7">
        <f t="shared" si="35"/>
        <v>0</v>
      </c>
    </row>
    <row r="12">
      <c r="B12" s="15" t="s">
        <v>30</v>
      </c>
      <c r="C12" s="7">
        <f t="shared" si="24"/>
        <v>0</v>
      </c>
      <c r="L12" s="15" t="s">
        <v>30</v>
      </c>
      <c r="M12" s="7">
        <f t="shared" si="25"/>
        <v>0</v>
      </c>
      <c r="V12" s="15" t="s">
        <v>30</v>
      </c>
      <c r="W12" s="7">
        <f t="shared" si="26"/>
        <v>0</v>
      </c>
      <c r="AE12" s="5"/>
      <c r="AF12" s="15" t="s">
        <v>30</v>
      </c>
      <c r="AG12" s="7">
        <f t="shared" si="27"/>
        <v>0</v>
      </c>
      <c r="AO12" s="5"/>
      <c r="AP12" s="15" t="s">
        <v>30</v>
      </c>
      <c r="AQ12" s="7">
        <f t="shared" si="28"/>
        <v>0</v>
      </c>
      <c r="AX12" s="5"/>
      <c r="AY12" s="5"/>
      <c r="AZ12" s="15" t="s">
        <v>30</v>
      </c>
      <c r="BA12" s="7">
        <f t="shared" si="29"/>
        <v>0</v>
      </c>
      <c r="BH12" s="5"/>
      <c r="BI12" s="5"/>
      <c r="BJ12" s="15" t="s">
        <v>30</v>
      </c>
      <c r="BK12" s="7">
        <f t="shared" si="30"/>
        <v>0</v>
      </c>
      <c r="BR12" s="5"/>
      <c r="BS12" s="5"/>
      <c r="BT12" s="15" t="s">
        <v>30</v>
      </c>
      <c r="BU12" s="7">
        <f t="shared" si="31"/>
        <v>0</v>
      </c>
      <c r="CB12" s="5"/>
      <c r="CC12" s="5"/>
      <c r="CD12" s="15" t="s">
        <v>30</v>
      </c>
      <c r="CE12" s="7">
        <f t="shared" si="32"/>
        <v>0</v>
      </c>
      <c r="CL12" s="5"/>
      <c r="CM12" s="5"/>
      <c r="CN12" s="15" t="s">
        <v>30</v>
      </c>
      <c r="CO12" s="7">
        <f t="shared" si="33"/>
        <v>0</v>
      </c>
      <c r="CV12" s="5"/>
      <c r="CW12" s="5"/>
      <c r="CX12" s="15" t="s">
        <v>30</v>
      </c>
      <c r="CY12" s="7">
        <f t="shared" si="34"/>
        <v>0</v>
      </c>
      <c r="DF12" s="5"/>
      <c r="DG12" s="5"/>
      <c r="DH12" s="15" t="s">
        <v>30</v>
      </c>
      <c r="DI12" s="7">
        <f t="shared" si="35"/>
        <v>0</v>
      </c>
    </row>
    <row r="13">
      <c r="B13" s="10" t="s">
        <v>31</v>
      </c>
      <c r="C13" s="7">
        <f t="shared" si="24"/>
        <v>0</v>
      </c>
      <c r="L13" s="10" t="s">
        <v>31</v>
      </c>
      <c r="M13" s="7">
        <f t="shared" si="25"/>
        <v>0</v>
      </c>
      <c r="V13" s="10" t="s">
        <v>31</v>
      </c>
      <c r="W13" s="7">
        <f t="shared" si="26"/>
        <v>0</v>
      </c>
      <c r="AE13" s="5"/>
      <c r="AF13" s="10" t="s">
        <v>31</v>
      </c>
      <c r="AG13" s="7">
        <f t="shared" si="27"/>
        <v>0</v>
      </c>
      <c r="AO13" s="5"/>
      <c r="AP13" s="10" t="s">
        <v>31</v>
      </c>
      <c r="AQ13" s="7">
        <f t="shared" si="28"/>
        <v>0</v>
      </c>
      <c r="AX13" s="5"/>
      <c r="AY13" s="5"/>
      <c r="AZ13" s="10" t="s">
        <v>31</v>
      </c>
      <c r="BA13" s="7">
        <f t="shared" si="29"/>
        <v>0</v>
      </c>
      <c r="BH13" s="5"/>
      <c r="BI13" s="5"/>
      <c r="BJ13" s="10" t="s">
        <v>31</v>
      </c>
      <c r="BK13" s="7">
        <f t="shared" si="30"/>
        <v>0</v>
      </c>
      <c r="BR13" s="5"/>
      <c r="BS13" s="5"/>
      <c r="BT13" s="10" t="s">
        <v>31</v>
      </c>
      <c r="BU13" s="7">
        <f t="shared" si="31"/>
        <v>0</v>
      </c>
      <c r="CB13" s="5"/>
      <c r="CC13" s="5"/>
      <c r="CD13" s="10" t="s">
        <v>31</v>
      </c>
      <c r="CE13" s="7">
        <f t="shared" si="32"/>
        <v>0</v>
      </c>
      <c r="CL13" s="5"/>
      <c r="CM13" s="5"/>
      <c r="CN13" s="10" t="s">
        <v>31</v>
      </c>
      <c r="CO13" s="7">
        <f t="shared" si="33"/>
        <v>0</v>
      </c>
      <c r="CV13" s="5"/>
      <c r="CW13" s="5"/>
      <c r="CX13" s="10" t="s">
        <v>31</v>
      </c>
      <c r="CY13" s="7">
        <f t="shared" si="34"/>
        <v>0</v>
      </c>
      <c r="DF13" s="5"/>
      <c r="DG13" s="5"/>
      <c r="DH13" s="10" t="s">
        <v>31</v>
      </c>
      <c r="DI13" s="7">
        <f t="shared" si="35"/>
        <v>0</v>
      </c>
    </row>
    <row r="14">
      <c r="AE14" s="5"/>
      <c r="AO14" s="5"/>
      <c r="AX14" s="5"/>
      <c r="AY14" s="5"/>
      <c r="BH14" s="5"/>
      <c r="BI14" s="5"/>
      <c r="BR14" s="5"/>
      <c r="BS14" s="5"/>
      <c r="CB14" s="5"/>
      <c r="CC14" s="5"/>
      <c r="CL14" s="5"/>
      <c r="CM14" s="5"/>
      <c r="CV14" s="5"/>
      <c r="CW14" s="5"/>
      <c r="DF14" s="5"/>
      <c r="DG14" s="5"/>
    </row>
    <row r="15">
      <c r="B15" s="3" t="s">
        <v>32</v>
      </c>
      <c r="C15" s="7">
        <f>SUM(C16:C18)</f>
        <v>0</v>
      </c>
      <c r="L15" s="3" t="s">
        <v>32</v>
      </c>
      <c r="M15" s="7">
        <f>SUM(M16:M18)</f>
        <v>0</v>
      </c>
      <c r="V15" s="3" t="s">
        <v>32</v>
      </c>
      <c r="W15" s="7">
        <f>SUM(W16:W18)</f>
        <v>0</v>
      </c>
      <c r="AE15" s="5"/>
      <c r="AF15" s="3" t="s">
        <v>32</v>
      </c>
      <c r="AG15" s="7">
        <f>SUM(AG16:AG18)</f>
        <v>0</v>
      </c>
      <c r="AO15" s="5"/>
      <c r="AP15" s="3" t="s">
        <v>32</v>
      </c>
      <c r="AQ15" s="7">
        <f>SUM(AQ16:AQ18)</f>
        <v>0</v>
      </c>
      <c r="AX15" s="5"/>
      <c r="AY15" s="5"/>
      <c r="AZ15" s="3" t="s">
        <v>32</v>
      </c>
      <c r="BA15" s="7">
        <f>SUM(BA16:BA18)</f>
        <v>0</v>
      </c>
      <c r="BH15" s="5"/>
      <c r="BI15" s="5"/>
      <c r="BJ15" s="3" t="s">
        <v>32</v>
      </c>
      <c r="BK15" s="7">
        <f>SUM(BK16:BK18)</f>
        <v>0</v>
      </c>
      <c r="BR15" s="5"/>
      <c r="BS15" s="5"/>
      <c r="BT15" s="3" t="s">
        <v>32</v>
      </c>
      <c r="BU15" s="7">
        <f>SUM(BU16:BU18)</f>
        <v>0</v>
      </c>
      <c r="CB15" s="5"/>
      <c r="CC15" s="5"/>
      <c r="CD15" s="3" t="s">
        <v>32</v>
      </c>
      <c r="CE15" s="7">
        <f>SUM(CE16:CE18)</f>
        <v>0</v>
      </c>
      <c r="CL15" s="5"/>
      <c r="CM15" s="5"/>
      <c r="CN15" s="3" t="s">
        <v>32</v>
      </c>
      <c r="CO15" s="7">
        <f>SUM(CO16:CO18)</f>
        <v>0</v>
      </c>
      <c r="CV15" s="5"/>
      <c r="CW15" s="5"/>
      <c r="CX15" s="3" t="s">
        <v>32</v>
      </c>
      <c r="CY15" s="7">
        <f>SUM(CY16:CY18)</f>
        <v>0</v>
      </c>
      <c r="DF15" s="5"/>
      <c r="DG15" s="5"/>
      <c r="DH15" s="3" t="s">
        <v>32</v>
      </c>
      <c r="DI15" s="7">
        <f>SUM(DI16:DI18)</f>
        <v>0</v>
      </c>
    </row>
    <row r="16">
      <c r="B16" s="15" t="s">
        <v>33</v>
      </c>
      <c r="C16" s="7">
        <f t="shared" ref="C16:C18" si="36">SUM(D16:F16)</f>
        <v>0</v>
      </c>
      <c r="L16" s="15" t="s">
        <v>33</v>
      </c>
      <c r="M16" s="7">
        <f t="shared" ref="M16:M18" si="37">SUM(N16:P16)</f>
        <v>0</v>
      </c>
      <c r="V16" s="15" t="s">
        <v>33</v>
      </c>
      <c r="W16" s="7">
        <f t="shared" ref="W16:W18" si="38">SUM(X16:Z16)</f>
        <v>0</v>
      </c>
      <c r="AE16" s="5"/>
      <c r="AF16" s="15" t="s">
        <v>33</v>
      </c>
      <c r="AG16" s="7">
        <f t="shared" ref="AG16:AG18" si="39">SUM(AH16:AJ16)</f>
        <v>0</v>
      </c>
      <c r="AO16" s="5"/>
      <c r="AP16" s="15" t="s">
        <v>33</v>
      </c>
      <c r="AQ16" s="7">
        <f t="shared" ref="AQ16:AQ18" si="40">SUM(AR16:AT16)</f>
        <v>0</v>
      </c>
      <c r="AX16" s="5"/>
      <c r="AY16" s="5"/>
      <c r="AZ16" s="15" t="s">
        <v>33</v>
      </c>
      <c r="BA16" s="7">
        <f t="shared" ref="BA16:BA18" si="41">SUM(BB16:BD16)</f>
        <v>0</v>
      </c>
      <c r="BH16" s="5"/>
      <c r="BI16" s="5"/>
      <c r="BJ16" s="15" t="s">
        <v>33</v>
      </c>
      <c r="BK16" s="7">
        <f t="shared" ref="BK16:BK18" si="42">SUM(BL16:BN16)</f>
        <v>0</v>
      </c>
      <c r="BR16" s="5"/>
      <c r="BS16" s="5"/>
      <c r="BT16" s="15" t="s">
        <v>33</v>
      </c>
      <c r="BU16" s="7">
        <f t="shared" ref="BU16:BU18" si="43">SUM(BV16:BX16)</f>
        <v>0</v>
      </c>
      <c r="CB16" s="5"/>
      <c r="CC16" s="5"/>
      <c r="CD16" s="15" t="s">
        <v>33</v>
      </c>
      <c r="CE16" s="7">
        <f t="shared" ref="CE16:CE18" si="44">SUM(CF16:CH16)</f>
        <v>0</v>
      </c>
      <c r="CL16" s="5"/>
      <c r="CM16" s="5"/>
      <c r="CN16" s="15" t="s">
        <v>33</v>
      </c>
      <c r="CO16" s="7">
        <f t="shared" ref="CO16:CO18" si="45">SUM(CP16:CR16)</f>
        <v>0</v>
      </c>
      <c r="CV16" s="5"/>
      <c r="CW16" s="5"/>
      <c r="CX16" s="15" t="s">
        <v>33</v>
      </c>
      <c r="CY16" s="7">
        <f t="shared" ref="CY16:CY18" si="46">SUM(CZ16:DB16)</f>
        <v>0</v>
      </c>
      <c r="DF16" s="5"/>
      <c r="DG16" s="5"/>
      <c r="DH16" s="15" t="s">
        <v>33</v>
      </c>
      <c r="DI16" s="7">
        <f t="shared" ref="DI16:DI18" si="47">SUM(DJ16:DL16)</f>
        <v>0</v>
      </c>
    </row>
    <row r="17">
      <c r="B17" s="10" t="s">
        <v>34</v>
      </c>
      <c r="C17" s="7">
        <f t="shared" si="36"/>
        <v>0</v>
      </c>
      <c r="L17" s="10" t="s">
        <v>34</v>
      </c>
      <c r="M17" s="7">
        <f t="shared" si="37"/>
        <v>0</v>
      </c>
      <c r="V17" s="10" t="s">
        <v>34</v>
      </c>
      <c r="W17" s="7">
        <f t="shared" si="38"/>
        <v>0</v>
      </c>
      <c r="AE17" s="5"/>
      <c r="AF17" s="10" t="s">
        <v>34</v>
      </c>
      <c r="AG17" s="7">
        <f t="shared" si="39"/>
        <v>0</v>
      </c>
      <c r="AO17" s="5"/>
      <c r="AP17" s="10" t="s">
        <v>34</v>
      </c>
      <c r="AQ17" s="7">
        <f t="shared" si="40"/>
        <v>0</v>
      </c>
      <c r="AX17" s="5"/>
      <c r="AY17" s="5"/>
      <c r="AZ17" s="10" t="s">
        <v>34</v>
      </c>
      <c r="BA17" s="7">
        <f t="shared" si="41"/>
        <v>0</v>
      </c>
      <c r="BH17" s="5"/>
      <c r="BI17" s="5"/>
      <c r="BJ17" s="10" t="s">
        <v>34</v>
      </c>
      <c r="BK17" s="7">
        <f t="shared" si="42"/>
        <v>0</v>
      </c>
      <c r="BR17" s="5"/>
      <c r="BS17" s="5"/>
      <c r="BT17" s="10" t="s">
        <v>34</v>
      </c>
      <c r="BU17" s="7">
        <f t="shared" si="43"/>
        <v>0</v>
      </c>
      <c r="CB17" s="5"/>
      <c r="CC17" s="5"/>
      <c r="CD17" s="10" t="s">
        <v>34</v>
      </c>
      <c r="CE17" s="7">
        <f t="shared" si="44"/>
        <v>0</v>
      </c>
      <c r="CL17" s="5"/>
      <c r="CM17" s="5"/>
      <c r="CN17" s="10" t="s">
        <v>34</v>
      </c>
      <c r="CO17" s="7">
        <f t="shared" si="45"/>
        <v>0</v>
      </c>
      <c r="CV17" s="5"/>
      <c r="CW17" s="5"/>
      <c r="CX17" s="10" t="s">
        <v>34</v>
      </c>
      <c r="CY17" s="7">
        <f t="shared" si="46"/>
        <v>0</v>
      </c>
      <c r="DF17" s="5"/>
      <c r="DG17" s="5"/>
      <c r="DH17" s="10" t="s">
        <v>34</v>
      </c>
      <c r="DI17" s="7">
        <f t="shared" si="47"/>
        <v>0</v>
      </c>
    </row>
    <row r="18">
      <c r="B18" s="14" t="s">
        <v>35</v>
      </c>
      <c r="C18" s="16">
        <f t="shared" si="36"/>
        <v>0</v>
      </c>
      <c r="L18" s="14" t="s">
        <v>35</v>
      </c>
      <c r="M18" s="16">
        <f t="shared" si="37"/>
        <v>0</v>
      </c>
      <c r="V18" s="14" t="s">
        <v>35</v>
      </c>
      <c r="W18" s="16">
        <f t="shared" si="38"/>
        <v>0</v>
      </c>
      <c r="AE18" s="5"/>
      <c r="AF18" s="14" t="s">
        <v>35</v>
      </c>
      <c r="AG18" s="16">
        <f t="shared" si="39"/>
        <v>0</v>
      </c>
      <c r="AO18" s="5"/>
      <c r="AP18" s="14" t="s">
        <v>35</v>
      </c>
      <c r="AQ18" s="16">
        <f t="shared" si="40"/>
        <v>0</v>
      </c>
      <c r="AX18" s="5"/>
      <c r="AY18" s="5"/>
      <c r="AZ18" s="14" t="s">
        <v>35</v>
      </c>
      <c r="BA18" s="16">
        <f t="shared" si="41"/>
        <v>0</v>
      </c>
      <c r="BH18" s="5"/>
      <c r="BI18" s="5"/>
      <c r="BJ18" s="14" t="s">
        <v>35</v>
      </c>
      <c r="BK18" s="16">
        <f t="shared" si="42"/>
        <v>0</v>
      </c>
      <c r="BR18" s="5"/>
      <c r="BS18" s="5"/>
      <c r="BT18" s="14" t="s">
        <v>35</v>
      </c>
      <c r="BU18" s="16">
        <f t="shared" si="43"/>
        <v>0</v>
      </c>
      <c r="CB18" s="5"/>
      <c r="CC18" s="5"/>
      <c r="CD18" s="14" t="s">
        <v>35</v>
      </c>
      <c r="CE18" s="16">
        <f t="shared" si="44"/>
        <v>0</v>
      </c>
      <c r="CL18" s="5"/>
      <c r="CM18" s="5"/>
      <c r="CN18" s="14" t="s">
        <v>35</v>
      </c>
      <c r="CO18" s="16">
        <f t="shared" si="45"/>
        <v>0</v>
      </c>
      <c r="CV18" s="5"/>
      <c r="CW18" s="5"/>
      <c r="CX18" s="14" t="s">
        <v>35</v>
      </c>
      <c r="CY18" s="16">
        <f t="shared" si="46"/>
        <v>0</v>
      </c>
      <c r="DF18" s="5"/>
      <c r="DG18" s="5"/>
      <c r="DH18" s="14" t="s">
        <v>35</v>
      </c>
      <c r="DI18" s="16">
        <f t="shared" si="47"/>
        <v>0</v>
      </c>
    </row>
    <row r="19">
      <c r="B19" s="3"/>
      <c r="C19" s="7"/>
      <c r="L19" s="3"/>
      <c r="M19" s="7"/>
      <c r="V19" s="3"/>
      <c r="W19" s="7"/>
      <c r="AE19" s="5"/>
      <c r="AF19" s="3"/>
      <c r="AG19" s="7"/>
      <c r="AO19" s="5"/>
      <c r="AP19" s="3"/>
      <c r="AQ19" s="7"/>
      <c r="AX19" s="5"/>
      <c r="AY19" s="5"/>
      <c r="AZ19" s="3"/>
      <c r="BA19" s="7"/>
      <c r="BH19" s="5"/>
      <c r="BI19" s="5"/>
      <c r="BJ19" s="3"/>
      <c r="BK19" s="7"/>
      <c r="BR19" s="5"/>
      <c r="BS19" s="5"/>
      <c r="BT19" s="3"/>
      <c r="BU19" s="7"/>
      <c r="CB19" s="5"/>
      <c r="CC19" s="5"/>
      <c r="CD19" s="3"/>
      <c r="CE19" s="7"/>
      <c r="CL19" s="5"/>
      <c r="CM19" s="5"/>
      <c r="CN19" s="3"/>
      <c r="CO19" s="7"/>
      <c r="CV19" s="5"/>
      <c r="CW19" s="5"/>
      <c r="CX19" s="3"/>
      <c r="CY19" s="7"/>
      <c r="DF19" s="5"/>
      <c r="DG19" s="5"/>
      <c r="DH19" s="3"/>
      <c r="DI19" s="7"/>
    </row>
    <row r="20">
      <c r="B20" s="3" t="s">
        <v>36</v>
      </c>
      <c r="C20" s="7">
        <f>SUM(C21:C24)</f>
        <v>0</v>
      </c>
      <c r="L20" s="3" t="s">
        <v>36</v>
      </c>
      <c r="M20" s="7">
        <f>SUM(M21:M24)</f>
        <v>0</v>
      </c>
      <c r="V20" s="3" t="s">
        <v>36</v>
      </c>
      <c r="W20" s="7">
        <f>SUM(W21:W24)</f>
        <v>0</v>
      </c>
      <c r="AE20" s="5"/>
      <c r="AF20" s="3" t="s">
        <v>36</v>
      </c>
      <c r="AG20" s="7">
        <f>SUM(AG21:AG24)</f>
        <v>0</v>
      </c>
      <c r="AO20" s="5"/>
      <c r="AP20" s="3" t="s">
        <v>36</v>
      </c>
      <c r="AQ20" s="7">
        <f>SUM(AQ21:AQ24)</f>
        <v>0</v>
      </c>
      <c r="AX20" s="5"/>
      <c r="AY20" s="5"/>
      <c r="AZ20" s="3" t="s">
        <v>36</v>
      </c>
      <c r="BA20" s="7">
        <f>SUM(BA21:BA24)</f>
        <v>0</v>
      </c>
      <c r="BH20" s="5"/>
      <c r="BI20" s="5"/>
      <c r="BJ20" s="3" t="s">
        <v>36</v>
      </c>
      <c r="BK20" s="7">
        <f>SUM(BK21:BK24)</f>
        <v>0</v>
      </c>
      <c r="BR20" s="5"/>
      <c r="BS20" s="5"/>
      <c r="BT20" s="3" t="s">
        <v>36</v>
      </c>
      <c r="BU20" s="7">
        <f>SUM(BU21:BU24)</f>
        <v>0</v>
      </c>
      <c r="CB20" s="5"/>
      <c r="CC20" s="5"/>
      <c r="CD20" s="3" t="s">
        <v>36</v>
      </c>
      <c r="CE20" s="7">
        <f>SUM(CE21:CE24)</f>
        <v>0</v>
      </c>
      <c r="CL20" s="5"/>
      <c r="CM20" s="5"/>
      <c r="CN20" s="3" t="s">
        <v>36</v>
      </c>
      <c r="CO20" s="7">
        <f>SUM(CO21:CO24)</f>
        <v>0</v>
      </c>
      <c r="CV20" s="5"/>
      <c r="CW20" s="5"/>
      <c r="CX20" s="3" t="s">
        <v>36</v>
      </c>
      <c r="CY20" s="7">
        <f>SUM(CY21:CY24)</f>
        <v>0</v>
      </c>
      <c r="DF20" s="5"/>
      <c r="DG20" s="5"/>
      <c r="DH20" s="3" t="s">
        <v>36</v>
      </c>
      <c r="DI20" s="7">
        <f>SUM(DI21:DI24)</f>
        <v>0</v>
      </c>
    </row>
    <row r="21">
      <c r="B21" s="10" t="s">
        <v>37</v>
      </c>
      <c r="C21" s="7">
        <f t="shared" ref="C21:C24" si="48">SUM(D21:F21)</f>
        <v>0</v>
      </c>
      <c r="D21" s="14" t="str">
        <f t="array" ref="D21">IF(TODAY()&gt;DATE(2900, 1, INDIRECT("'Storico Telefono'!$B$4")), INDIRECT("'Storico Telefono'!$A$4"), )</f>
        <v/>
      </c>
      <c r="L21" s="10" t="s">
        <v>37</v>
      </c>
      <c r="M21" s="7">
        <f t="shared" ref="M21:M24" si="49">SUM(N21:P21)</f>
        <v>0</v>
      </c>
      <c r="N21" s="14" t="str">
        <f t="array" ref="N21">IF(TODAY()&gt;DATE(2900, 2, INDIRECT("'Storico Telefono'!$B$4")), INDIRECT("'Storico Telefono'!$A$4"), )</f>
        <v/>
      </c>
      <c r="V21" s="10" t="s">
        <v>37</v>
      </c>
      <c r="W21" s="7">
        <f t="shared" ref="W21:W24" si="50">SUM(X21:Z21)</f>
        <v>0</v>
      </c>
      <c r="X21" s="14" t="str">
        <f t="array" ref="X21">IF(TODAY()&gt;DATE(2900, 3, INDIRECT("'Storico Telefono'!$B$4")), INDIRECT("'Storico Telefono'!$A$4"), )</f>
        <v/>
      </c>
      <c r="AE21" s="5"/>
      <c r="AF21" s="10" t="s">
        <v>37</v>
      </c>
      <c r="AG21" s="7">
        <f t="shared" ref="AG21:AG24" si="51">SUM(AH21:AJ21)</f>
        <v>0</v>
      </c>
      <c r="AH21" s="14" t="str">
        <f t="array" ref="AH21">IF(TODAY()&gt;DATE(2900, 4, INDIRECT("'Storico Telefono'!$B$4")), INDIRECT("'Storico Telefono'!$A$4"), )</f>
        <v/>
      </c>
      <c r="AO21" s="5"/>
      <c r="AP21" s="10" t="s">
        <v>37</v>
      </c>
      <c r="AQ21" s="7">
        <f t="shared" ref="AQ21:AQ24" si="52">SUM(AR21:AT21)</f>
        <v>0</v>
      </c>
      <c r="AR21" s="14" t="str">
        <f t="array" ref="AR21">IF(TODAY()&gt;DATE(2900, 5, INDIRECT("'Storico Telefono'!$B$4")), INDIRECT("'Storico Telefono'!$A$4"), )</f>
        <v/>
      </c>
      <c r="AX21" s="5"/>
      <c r="AY21" s="5"/>
      <c r="AZ21" s="10" t="s">
        <v>37</v>
      </c>
      <c r="BA21" s="7">
        <f t="shared" ref="BA21:BA24" si="53">SUM(BB21:BD21)</f>
        <v>0</v>
      </c>
      <c r="BB21" s="14" t="str">
        <f t="array" ref="BB21">IF(TODAY()&gt;DATE(2900, 6, INDIRECT("'Storico Telefono'!$B$4")), INDIRECT("'Storico Telefono'!$A$4"), )</f>
        <v/>
      </c>
      <c r="BH21" s="5"/>
      <c r="BI21" s="5"/>
      <c r="BJ21" s="10" t="s">
        <v>37</v>
      </c>
      <c r="BK21" s="7">
        <f t="shared" ref="BK21:BK24" si="54">SUM(BL21:BN21)</f>
        <v>0</v>
      </c>
      <c r="BL21" s="14" t="str">
        <f t="array" ref="BL21">IF(TODAY()&gt;DATE(2900, 7, INDIRECT("'Storico Telefono'!$B$4")), INDIRECT("'Storico Telefono'!$A$4"), )</f>
        <v/>
      </c>
      <c r="BR21" s="5"/>
      <c r="BS21" s="5"/>
      <c r="BT21" s="10" t="s">
        <v>37</v>
      </c>
      <c r="BU21" s="7">
        <f t="shared" ref="BU21:BU24" si="55">SUM(BV21:BX21)</f>
        <v>0</v>
      </c>
      <c r="BV21" s="14" t="str">
        <f t="array" ref="BV21">IF(TODAY()&gt;DATE(2900, 8, INDIRECT("'Storico Telefono'!$B$4")), INDIRECT("'Storico Telefono'!$A$4"), )</f>
        <v/>
      </c>
      <c r="CB21" s="5"/>
      <c r="CC21" s="5"/>
      <c r="CD21" s="10" t="s">
        <v>37</v>
      </c>
      <c r="CE21" s="7">
        <f t="shared" ref="CE21:CE24" si="56">SUM(CF21:CH21)</f>
        <v>0</v>
      </c>
      <c r="CF21" s="14" t="str">
        <f t="array" ref="CF21">IF(TODAY()&gt;DATE(2900, 9, INDIRECT("'Storico Telefono'!$B$4")), INDIRECT("'Storico Telefono'!$A$4"), )</f>
        <v/>
      </c>
      <c r="CL21" s="5"/>
      <c r="CM21" s="5"/>
      <c r="CN21" s="10" t="s">
        <v>37</v>
      </c>
      <c r="CO21" s="7">
        <f t="shared" ref="CO21:CO24" si="57">SUM(CP21:CR21)</f>
        <v>0</v>
      </c>
      <c r="CP21" s="14" t="str">
        <f t="array" ref="CP21">IF(TODAY()&gt;DATE(2900, 10, INDIRECT("'Storico Telefono'!$B$4")), INDIRECT("'Storico Telefono'!$A$4"), )</f>
        <v/>
      </c>
      <c r="CV21" s="5"/>
      <c r="CW21" s="5"/>
      <c r="CX21" s="10" t="s">
        <v>37</v>
      </c>
      <c r="CY21" s="7">
        <f t="shared" ref="CY21:CY24" si="58">SUM(CZ21:DB21)</f>
        <v>0</v>
      </c>
      <c r="CZ21" s="14" t="str">
        <f t="array" ref="CZ21">IF(TODAY()&gt;DATE(2900, 11, INDIRECT("'Storico Telefono'!$B$4")), INDIRECT("'Storico Telefono'!$A$4"), )</f>
        <v/>
      </c>
      <c r="DF21" s="5"/>
      <c r="DG21" s="5"/>
      <c r="DH21" s="10" t="s">
        <v>37</v>
      </c>
      <c r="DI21" s="7">
        <f t="shared" ref="DI21:DI24" si="59">SUM(DJ21:DL21)</f>
        <v>0</v>
      </c>
      <c r="DJ21" s="14" t="str">
        <f t="array" ref="DJ21">IF(TODAY()&gt;DATE(2900, 12, INDIRECT("'Storico Telefono'!$B$4")), INDIRECT("'Storico Telefono'!$A$4"), )</f>
        <v/>
      </c>
    </row>
    <row r="22">
      <c r="B22" s="10" t="s">
        <v>38</v>
      </c>
      <c r="C22" s="7">
        <f t="shared" si="48"/>
        <v>0</v>
      </c>
      <c r="L22" s="10" t="s">
        <v>38</v>
      </c>
      <c r="M22" s="7">
        <f t="shared" si="49"/>
        <v>0</v>
      </c>
      <c r="V22" s="10" t="s">
        <v>38</v>
      </c>
      <c r="W22" s="7">
        <f t="shared" si="50"/>
        <v>0</v>
      </c>
      <c r="AE22" s="5"/>
      <c r="AF22" s="10" t="s">
        <v>38</v>
      </c>
      <c r="AG22" s="7">
        <f t="shared" si="51"/>
        <v>0</v>
      </c>
      <c r="AO22" s="5"/>
      <c r="AP22" s="10" t="s">
        <v>38</v>
      </c>
      <c r="AQ22" s="7">
        <f t="shared" si="52"/>
        <v>0</v>
      </c>
      <c r="AX22" s="5"/>
      <c r="AY22" s="5"/>
      <c r="AZ22" s="10" t="s">
        <v>38</v>
      </c>
      <c r="BA22" s="7">
        <f t="shared" si="53"/>
        <v>0</v>
      </c>
      <c r="BH22" s="5"/>
      <c r="BI22" s="5"/>
      <c r="BJ22" s="10" t="s">
        <v>38</v>
      </c>
      <c r="BK22" s="7">
        <f t="shared" si="54"/>
        <v>0</v>
      </c>
      <c r="BR22" s="5"/>
      <c r="BS22" s="5"/>
      <c r="BT22" s="10" t="s">
        <v>38</v>
      </c>
      <c r="BU22" s="7">
        <f t="shared" si="55"/>
        <v>0</v>
      </c>
      <c r="CB22" s="5"/>
      <c r="CC22" s="5"/>
      <c r="CD22" s="10" t="s">
        <v>38</v>
      </c>
      <c r="CE22" s="7">
        <f t="shared" si="56"/>
        <v>0</v>
      </c>
      <c r="CL22" s="5"/>
      <c r="CM22" s="5"/>
      <c r="CN22" s="10" t="s">
        <v>38</v>
      </c>
      <c r="CO22" s="7">
        <f t="shared" si="57"/>
        <v>0</v>
      </c>
      <c r="CV22" s="5"/>
      <c r="CW22" s="5"/>
      <c r="CX22" s="10" t="s">
        <v>38</v>
      </c>
      <c r="CY22" s="7">
        <f t="shared" si="58"/>
        <v>0</v>
      </c>
      <c r="DF22" s="5"/>
      <c r="DG22" s="5"/>
      <c r="DH22" s="10" t="s">
        <v>38</v>
      </c>
      <c r="DI22" s="7">
        <f t="shared" si="59"/>
        <v>0</v>
      </c>
    </row>
    <row r="23">
      <c r="B23" s="10" t="s">
        <v>39</v>
      </c>
      <c r="C23" s="7">
        <f t="shared" si="48"/>
        <v>0</v>
      </c>
      <c r="L23" s="10" t="s">
        <v>39</v>
      </c>
      <c r="M23" s="7">
        <f t="shared" si="49"/>
        <v>0</v>
      </c>
      <c r="V23" s="10" t="s">
        <v>39</v>
      </c>
      <c r="W23" s="7">
        <f t="shared" si="50"/>
        <v>0</v>
      </c>
      <c r="AE23" s="5"/>
      <c r="AF23" s="10" t="s">
        <v>39</v>
      </c>
      <c r="AG23" s="7">
        <f t="shared" si="51"/>
        <v>0</v>
      </c>
      <c r="AO23" s="5"/>
      <c r="AP23" s="10" t="s">
        <v>39</v>
      </c>
      <c r="AQ23" s="7">
        <f t="shared" si="52"/>
        <v>0</v>
      </c>
      <c r="AX23" s="5"/>
      <c r="AY23" s="5"/>
      <c r="AZ23" s="10" t="s">
        <v>39</v>
      </c>
      <c r="BA23" s="7">
        <f t="shared" si="53"/>
        <v>0</v>
      </c>
      <c r="BH23" s="5"/>
      <c r="BI23" s="5"/>
      <c r="BJ23" s="10" t="s">
        <v>39</v>
      </c>
      <c r="BK23" s="7">
        <f t="shared" si="54"/>
        <v>0</v>
      </c>
      <c r="BR23" s="5"/>
      <c r="BS23" s="5"/>
      <c r="BT23" s="10" t="s">
        <v>39</v>
      </c>
      <c r="BU23" s="7">
        <f t="shared" si="55"/>
        <v>0</v>
      </c>
      <c r="CB23" s="5"/>
      <c r="CC23" s="5"/>
      <c r="CD23" s="10" t="s">
        <v>39</v>
      </c>
      <c r="CE23" s="7">
        <f t="shared" si="56"/>
        <v>0</v>
      </c>
      <c r="CL23" s="5"/>
      <c r="CM23" s="5"/>
      <c r="CN23" s="10" t="s">
        <v>39</v>
      </c>
      <c r="CO23" s="7">
        <f t="shared" si="57"/>
        <v>0</v>
      </c>
      <c r="CV23" s="5"/>
      <c r="CW23" s="5"/>
      <c r="CX23" s="10" t="s">
        <v>39</v>
      </c>
      <c r="CY23" s="7">
        <f t="shared" si="58"/>
        <v>0</v>
      </c>
      <c r="DF23" s="5"/>
      <c r="DG23" s="5"/>
      <c r="DH23" s="10" t="s">
        <v>39</v>
      </c>
      <c r="DI23" s="7">
        <f t="shared" si="59"/>
        <v>0</v>
      </c>
    </row>
    <row r="24">
      <c r="B24" s="10" t="s">
        <v>40</v>
      </c>
      <c r="C24" s="7">
        <f t="shared" si="48"/>
        <v>0</v>
      </c>
      <c r="L24" s="10" t="s">
        <v>40</v>
      </c>
      <c r="M24" s="7">
        <f t="shared" si="49"/>
        <v>0</v>
      </c>
      <c r="V24" s="10" t="s">
        <v>40</v>
      </c>
      <c r="W24" s="7">
        <f t="shared" si="50"/>
        <v>0</v>
      </c>
      <c r="AE24" s="5"/>
      <c r="AF24" s="10" t="s">
        <v>40</v>
      </c>
      <c r="AG24" s="7">
        <f t="shared" si="51"/>
        <v>0</v>
      </c>
      <c r="AO24" s="5"/>
      <c r="AP24" s="10" t="s">
        <v>40</v>
      </c>
      <c r="AQ24" s="7">
        <f t="shared" si="52"/>
        <v>0</v>
      </c>
      <c r="AX24" s="5"/>
      <c r="AY24" s="5"/>
      <c r="AZ24" s="10" t="s">
        <v>40</v>
      </c>
      <c r="BA24" s="7">
        <f t="shared" si="53"/>
        <v>0</v>
      </c>
      <c r="BH24" s="5"/>
      <c r="BI24" s="5"/>
      <c r="BJ24" s="10" t="s">
        <v>40</v>
      </c>
      <c r="BK24" s="7">
        <f t="shared" si="54"/>
        <v>0</v>
      </c>
      <c r="BR24" s="5"/>
      <c r="BS24" s="5"/>
      <c r="BT24" s="10" t="s">
        <v>40</v>
      </c>
      <c r="BU24" s="7">
        <f t="shared" si="55"/>
        <v>0</v>
      </c>
      <c r="CB24" s="5"/>
      <c r="CC24" s="5"/>
      <c r="CD24" s="10" t="s">
        <v>40</v>
      </c>
      <c r="CE24" s="7">
        <f t="shared" si="56"/>
        <v>0</v>
      </c>
      <c r="CL24" s="5"/>
      <c r="CM24" s="5"/>
      <c r="CN24" s="10" t="s">
        <v>40</v>
      </c>
      <c r="CO24" s="7">
        <f t="shared" si="57"/>
        <v>0</v>
      </c>
      <c r="CV24" s="5"/>
      <c r="CW24" s="5"/>
      <c r="CX24" s="10" t="s">
        <v>40</v>
      </c>
      <c r="CY24" s="7">
        <f t="shared" si="58"/>
        <v>0</v>
      </c>
      <c r="DF24" s="5"/>
      <c r="DG24" s="5"/>
      <c r="DH24" s="10" t="s">
        <v>40</v>
      </c>
      <c r="DI24" s="7">
        <f t="shared" si="59"/>
        <v>0</v>
      </c>
    </row>
    <row r="25">
      <c r="AE25" s="5"/>
      <c r="AO25" s="5"/>
      <c r="AX25" s="5"/>
      <c r="AY25" s="5"/>
      <c r="BH25" s="5"/>
      <c r="BI25" s="5"/>
      <c r="BR25" s="5"/>
      <c r="BS25" s="5"/>
      <c r="CB25" s="5"/>
      <c r="CC25" s="5"/>
      <c r="CL25" s="5"/>
      <c r="CM25" s="5"/>
      <c r="CV25" s="5"/>
      <c r="CW25" s="5"/>
      <c r="DF25" s="5"/>
      <c r="DG25" s="5"/>
    </row>
    <row r="26">
      <c r="B26" s="3" t="s">
        <v>41</v>
      </c>
      <c r="C26" s="7">
        <f>SUM(C27:C28)</f>
        <v>0</v>
      </c>
      <c r="L26" s="3" t="s">
        <v>41</v>
      </c>
      <c r="M26" s="7">
        <f>SUM(M27:M28)</f>
        <v>0</v>
      </c>
      <c r="V26" s="3" t="s">
        <v>41</v>
      </c>
      <c r="W26" s="7">
        <f>SUM(W27:W28)</f>
        <v>0</v>
      </c>
      <c r="AE26" s="5"/>
      <c r="AF26" s="3" t="s">
        <v>41</v>
      </c>
      <c r="AG26" s="7">
        <f>SUM(AG27:AG28)</f>
        <v>0</v>
      </c>
      <c r="AO26" s="5"/>
      <c r="AP26" s="3" t="s">
        <v>41</v>
      </c>
      <c r="AQ26" s="7">
        <f>SUM(AQ27:AQ28)</f>
        <v>0</v>
      </c>
      <c r="AX26" s="5"/>
      <c r="AY26" s="5"/>
      <c r="AZ26" s="3" t="s">
        <v>41</v>
      </c>
      <c r="BA26" s="7">
        <f>SUM(BA27:BA28)</f>
        <v>0</v>
      </c>
      <c r="BH26" s="5"/>
      <c r="BI26" s="5"/>
      <c r="BJ26" s="3" t="s">
        <v>41</v>
      </c>
      <c r="BK26" s="7">
        <f>SUM(BK27:BK28)</f>
        <v>0</v>
      </c>
      <c r="BR26" s="5"/>
      <c r="BS26" s="5"/>
      <c r="BT26" s="3" t="s">
        <v>41</v>
      </c>
      <c r="BU26" s="7">
        <f>SUM(BU27:BU28)</f>
        <v>0</v>
      </c>
      <c r="CB26" s="5"/>
      <c r="CC26" s="5"/>
      <c r="CD26" s="3" t="s">
        <v>41</v>
      </c>
      <c r="CE26" s="7">
        <f>SUM(CE27:CE28)</f>
        <v>0</v>
      </c>
      <c r="CL26" s="5"/>
      <c r="CM26" s="5"/>
      <c r="CN26" s="3" t="s">
        <v>41</v>
      </c>
      <c r="CO26" s="7">
        <f>SUM(CO27:CO28)</f>
        <v>0</v>
      </c>
      <c r="CV26" s="5"/>
      <c r="CW26" s="5"/>
      <c r="CX26" s="3" t="s">
        <v>41</v>
      </c>
      <c r="CY26" s="7">
        <f>SUM(CY27:CY28)</f>
        <v>0</v>
      </c>
      <c r="DF26" s="5"/>
      <c r="DG26" s="5"/>
      <c r="DH26" s="3" t="s">
        <v>41</v>
      </c>
      <c r="DI26" s="7">
        <f>SUM(DI27:DI28)</f>
        <v>0</v>
      </c>
    </row>
    <row r="27">
      <c r="B27" s="10" t="s">
        <v>42</v>
      </c>
      <c r="C27" s="7">
        <f t="shared" ref="C27:C28" si="60">SUM(D27:F27)</f>
        <v>0</v>
      </c>
      <c r="D27" s="16" t="str">
        <f t="array" ref="D27">IF(TODAY()&gt;DATE(2026,1,INDIRECT("'Storico affitto'!$C$3")),INDIRECT("'Storico affitto'!$A$3"),)</f>
        <v/>
      </c>
      <c r="L27" s="10" t="s">
        <v>42</v>
      </c>
      <c r="M27" s="7">
        <f t="shared" ref="M27:M28" si="61">SUM(N27:P27)</f>
        <v>0</v>
      </c>
      <c r="N27" s="16" t="str">
        <f t="array" ref="N27">IF(TODAY()&gt;DATE(2026,2,INDIRECT("'Storico affitto'!$C$3")),INDIRECT("'Storico affitto'!$A$3"),)</f>
        <v/>
      </c>
      <c r="V27" s="10" t="s">
        <v>42</v>
      </c>
      <c r="W27" s="7">
        <f t="shared" ref="W27:W28" si="62">SUM(X27:Z27)</f>
        <v>0</v>
      </c>
      <c r="X27" s="16" t="str">
        <f t="array" ref="X27">IF(TODAY()&gt;DATE(2026,3,INDIRECT("'Storico affitto'!$C$3")),INDIRECT("'Storico affitto'!$A$3"),)</f>
        <v/>
      </c>
      <c r="AE27" s="5"/>
      <c r="AF27" s="10" t="s">
        <v>42</v>
      </c>
      <c r="AG27" s="7">
        <f t="shared" ref="AG27:AG28" si="63">SUM(AH27:AJ27)</f>
        <v>0</v>
      </c>
      <c r="AH27" s="16" t="str">
        <f t="array" ref="AH27">IF(TODAY()&gt;DATE(2026,4,INDIRECT("'Storico affitto'!$C$3")),INDIRECT("'Storico affitto'!$A$3"),)</f>
        <v/>
      </c>
      <c r="AO27" s="5"/>
      <c r="AP27" s="10" t="s">
        <v>42</v>
      </c>
      <c r="AQ27" s="7">
        <f t="shared" ref="AQ27:AQ28" si="64">SUM(AR27:AT27)</f>
        <v>0</v>
      </c>
      <c r="AR27" s="16" t="str">
        <f t="array" ref="AR27">IF(TODAY()&gt;DATE(2026,1,INDIRECT("'Storico affitto'!$C$4")),INDIRECT("'Storico affitto'!$A$4"),)</f>
        <v/>
      </c>
      <c r="AX27" s="5"/>
      <c r="AY27" s="5"/>
      <c r="AZ27" s="10" t="s">
        <v>42</v>
      </c>
      <c r="BA27" s="7">
        <f t="shared" ref="BA27:BA28" si="65">SUM(BB27:BD27)</f>
        <v>0</v>
      </c>
      <c r="BB27" s="16" t="str">
        <f t="array" ref="BB27">IF(TODAY()&gt;DATE(2026,1,INDIRECT("'Storico affitto'!$C$4")),INDIRECT("'Storico affitto'!$A$4"),)</f>
        <v/>
      </c>
      <c r="BH27" s="5"/>
      <c r="BI27" s="5"/>
      <c r="BJ27" s="10" t="s">
        <v>42</v>
      </c>
      <c r="BK27" s="7">
        <f t="shared" ref="BK27:BK28" si="66">SUM(BL27:BN27)</f>
        <v>0</v>
      </c>
      <c r="BL27" s="16" t="str">
        <f t="array" ref="BL27">IF(TODAY()&gt;DATE(2026,1,INDIRECT("'Storico affitto'!$C$4")),INDIRECT("'Storico affitto'!$A$4"),)</f>
        <v/>
      </c>
      <c r="BR27" s="5"/>
      <c r="BS27" s="5"/>
      <c r="BT27" s="10" t="s">
        <v>42</v>
      </c>
      <c r="BU27" s="7">
        <f t="shared" ref="BU27:BU28" si="67">SUM(BV27:BX27)</f>
        <v>0</v>
      </c>
      <c r="BV27" s="16" t="str">
        <f t="array" ref="BV27">IF(TODAY()&gt;DATE(2026,1,INDIRECT("'Storico affitto'!$C$4")),INDIRECT("'Storico affitto'!$A$4"),)</f>
        <v/>
      </c>
      <c r="CB27" s="5"/>
      <c r="CC27" s="5"/>
      <c r="CD27" s="10" t="s">
        <v>42</v>
      </c>
      <c r="CE27" s="7">
        <f t="shared" ref="CE27:CE28" si="68">SUM(CF27:CH27)</f>
        <v>0</v>
      </c>
      <c r="CF27" s="16" t="str">
        <f t="array" ref="CF27">IF(TODAY()&gt;DATE(2026,1,INDIRECT("'Storico affitto'!$C$4")),INDIRECT("'Storico affitto'!$A$4"),)</f>
        <v/>
      </c>
      <c r="CL27" s="5"/>
      <c r="CM27" s="5"/>
      <c r="CN27" s="10" t="s">
        <v>42</v>
      </c>
      <c r="CO27" s="7">
        <f t="shared" ref="CO27:CO28" si="69">SUM(CP27:CR27)</f>
        <v>0</v>
      </c>
      <c r="CP27" s="16" t="str">
        <f t="array" ref="CP27">IF(TODAY()&gt;DATE(2026,1,INDIRECT("'Storico affitto'!$C$4")),INDIRECT("'Storico affitto'!$A$4"),)</f>
        <v/>
      </c>
      <c r="CV27" s="5"/>
      <c r="CW27" s="5"/>
      <c r="CX27" s="10" t="s">
        <v>42</v>
      </c>
      <c r="CY27" s="7">
        <f t="shared" ref="CY27:CY28" si="70">SUM(CZ27:DB27)</f>
        <v>0</v>
      </c>
      <c r="CZ27" s="16" t="str">
        <f t="array" ref="CZ27">IF(TODAY()&gt;DATE(2026,1,INDIRECT("'Storico affitto'!$C$4")),INDIRECT("'Storico affitto'!$A$4"),)</f>
        <v/>
      </c>
      <c r="DF27" s="5"/>
      <c r="DG27" s="5"/>
      <c r="DH27" s="10" t="s">
        <v>42</v>
      </c>
      <c r="DI27" s="7">
        <f t="shared" ref="DI27:DI28" si="71">SUM(DJ27:DL27)</f>
        <v>0</v>
      </c>
      <c r="DJ27" s="16" t="str">
        <f t="array" ref="DJ27">IF(TODAY()&gt;DATE(2026,1,INDIRECT("'Storico affitto'!$C$4")),INDIRECT("'Storico affitto'!$A$4"),)</f>
        <v/>
      </c>
    </row>
    <row r="28">
      <c r="B28" s="10" t="s">
        <v>43</v>
      </c>
      <c r="C28" s="7">
        <f t="shared" si="60"/>
        <v>0</v>
      </c>
      <c r="D28" s="16" t="str">
        <f t="array" ref="D28">IF(TODAY()&gt;DATE(2026,1,INDIRECT("'Storico affitto'!$A$3")),INDIRECT("'Storico affitto'!$B$3"),)</f>
        <v/>
      </c>
      <c r="L28" s="10" t="s">
        <v>43</v>
      </c>
      <c r="M28" s="7">
        <f t="shared" si="61"/>
        <v>0</v>
      </c>
      <c r="N28" s="16" t="str">
        <f t="array" ref="N28">IF(TODAY()&gt;DATE(2026,2,INDIRECT("'Storico affitto'!$A$3")),INDIRECT("'Storico affitto'!$B$3"),)</f>
        <v/>
      </c>
      <c r="V28" s="10" t="s">
        <v>43</v>
      </c>
      <c r="W28" s="7">
        <f t="shared" si="62"/>
        <v>0</v>
      </c>
      <c r="X28" s="16" t="str">
        <f t="array" ref="X28">IF(TODAY()&gt;DATE(2026,3,INDIRECT("'Storico affitto'!$A$3")),INDIRECT("'Storico affitto'!$B$3"),)</f>
        <v/>
      </c>
      <c r="AE28" s="5"/>
      <c r="AF28" s="10" t="s">
        <v>43</v>
      </c>
      <c r="AG28" s="7">
        <f t="shared" si="63"/>
        <v>0</v>
      </c>
      <c r="AH28" s="16" t="str">
        <f t="array" ref="AH28">IF(TODAY()&gt;DATE(2026,4,INDIRECT("'Storico affitto'!$A$3")),INDIRECT("'Storico affitto'!$B$3"),)</f>
        <v/>
      </c>
      <c r="AO28" s="5"/>
      <c r="AP28" s="10" t="s">
        <v>43</v>
      </c>
      <c r="AQ28" s="7">
        <f t="shared" si="64"/>
        <v>0</v>
      </c>
      <c r="AR28" s="16" t="str">
        <f t="array" ref="AR28">IF(TODAY()&gt;DATE(2026,1,INDIRECT("'Storico affitto'!$A$4")),INDIRECT("'Storico affitto'!$B$4"),)</f>
        <v/>
      </c>
      <c r="AX28" s="5"/>
      <c r="AY28" s="5"/>
      <c r="AZ28" s="10" t="s">
        <v>43</v>
      </c>
      <c r="BA28" s="7">
        <f t="shared" si="65"/>
        <v>0</v>
      </c>
      <c r="BB28" s="16" t="str">
        <f t="array" ref="BB28">IF(TODAY()&gt;DATE(2026,1,INDIRECT("'Storico affitto'!$A$4")),INDIRECT("'Storico affitto'!$B$4"),)</f>
        <v/>
      </c>
      <c r="BH28" s="5"/>
      <c r="BI28" s="5"/>
      <c r="BJ28" s="10" t="s">
        <v>43</v>
      </c>
      <c r="BK28" s="7">
        <f t="shared" si="66"/>
        <v>0</v>
      </c>
      <c r="BL28" s="16" t="str">
        <f t="array" ref="BL28">IF(TODAY()&gt;DATE(2026,1,INDIRECT("'Storico affitto'!$A$4")),INDIRECT("'Storico affitto'!$B$4"),)</f>
        <v/>
      </c>
      <c r="BR28" s="5"/>
      <c r="BS28" s="5"/>
      <c r="BT28" s="10" t="s">
        <v>43</v>
      </c>
      <c r="BU28" s="7">
        <f t="shared" si="67"/>
        <v>0</v>
      </c>
      <c r="BV28" s="16" t="str">
        <f t="array" ref="BV28">IF(TODAY()&gt;DATE(2026,1,INDIRECT("'Storico affitto'!$A$4")),INDIRECT("'Storico affitto'!$B$4"),)</f>
        <v/>
      </c>
      <c r="CB28" s="5"/>
      <c r="CC28" s="5"/>
      <c r="CD28" s="10" t="s">
        <v>43</v>
      </c>
      <c r="CE28" s="7">
        <f t="shared" si="68"/>
        <v>0</v>
      </c>
      <c r="CF28" s="16" t="str">
        <f t="array" ref="CF28">IF(TODAY()&gt;DATE(2026,1,INDIRECT("'Storico affitto'!$A$4")),INDIRECT("'Storico affitto'!$B$4"),)</f>
        <v/>
      </c>
      <c r="CL28" s="5"/>
      <c r="CM28" s="5"/>
      <c r="CN28" s="10" t="s">
        <v>43</v>
      </c>
      <c r="CO28" s="7">
        <f t="shared" si="69"/>
        <v>0</v>
      </c>
      <c r="CP28" s="16" t="str">
        <f t="array" ref="CP28">IF(TODAY()&gt;DATE(2026,1,INDIRECT("'Storico affitto'!$A$4")),INDIRECT("'Storico affitto'!$B$4"),)</f>
        <v/>
      </c>
      <c r="CV28" s="5"/>
      <c r="CW28" s="5"/>
      <c r="CX28" s="10" t="s">
        <v>43</v>
      </c>
      <c r="CY28" s="7">
        <f t="shared" si="70"/>
        <v>0</v>
      </c>
      <c r="CZ28" s="16" t="str">
        <f t="array" ref="CZ28">IF(TODAY()&gt;DATE(2026,1,INDIRECT("'Storico affitto'!$A$4")),INDIRECT("'Storico affitto'!$B$4"),)</f>
        <v/>
      </c>
      <c r="DF28" s="5"/>
      <c r="DG28" s="5"/>
      <c r="DH28" s="10" t="s">
        <v>43</v>
      </c>
      <c r="DI28" s="7">
        <f t="shared" si="71"/>
        <v>0</v>
      </c>
      <c r="DJ28" s="16" t="str">
        <f t="array" ref="DJ28">IF(TODAY()&gt;DATE(2026,1,INDIRECT("'Storico affitto'!$A$4")),INDIRECT("'Storico affitto'!$B$4"),)</f>
        <v/>
      </c>
    </row>
    <row r="29">
      <c r="AE29" s="5"/>
      <c r="AO29" s="5"/>
      <c r="AX29" s="5"/>
      <c r="AY29" s="5"/>
      <c r="BH29" s="5"/>
      <c r="BI29" s="5"/>
      <c r="BR29" s="5"/>
      <c r="BS29" s="5"/>
      <c r="CB29" s="5"/>
      <c r="CC29" s="5"/>
      <c r="CL29" s="5"/>
      <c r="CM29" s="5"/>
      <c r="CV29" s="5"/>
      <c r="CW29" s="5"/>
      <c r="DF29" s="5"/>
      <c r="DG29" s="5"/>
    </row>
    <row r="30">
      <c r="B30" s="17" t="s">
        <v>44</v>
      </c>
      <c r="C30" s="7">
        <f>SUM(C31)</f>
        <v>0</v>
      </c>
      <c r="E30" s="2"/>
      <c r="F30" s="2"/>
      <c r="L30" s="17" t="s">
        <v>44</v>
      </c>
      <c r="M30" s="7">
        <f>SUM(M31)</f>
        <v>0</v>
      </c>
      <c r="O30" s="2"/>
      <c r="P30" s="2"/>
      <c r="T30" s="2"/>
      <c r="V30" s="17" t="s">
        <v>44</v>
      </c>
      <c r="W30" s="7">
        <f>SUM(W31)</f>
        <v>0</v>
      </c>
      <c r="Y30" s="2"/>
      <c r="Z30" s="2"/>
      <c r="AE30" s="5"/>
      <c r="AF30" s="17" t="s">
        <v>44</v>
      </c>
      <c r="AG30" s="7">
        <f>SUM(AG31)</f>
        <v>0</v>
      </c>
      <c r="AI30" s="2"/>
      <c r="AJ30" s="2"/>
      <c r="AO30" s="5"/>
      <c r="AP30" s="17" t="s">
        <v>44</v>
      </c>
      <c r="AQ30" s="7">
        <f>SUM(AQ31)</f>
        <v>0</v>
      </c>
      <c r="AS30" s="2"/>
      <c r="AT30" s="2"/>
      <c r="AX30" s="5"/>
      <c r="AY30" s="5"/>
      <c r="AZ30" s="17" t="s">
        <v>44</v>
      </c>
      <c r="BA30" s="7">
        <f>SUM(BA31)</f>
        <v>0</v>
      </c>
      <c r="BC30" s="2"/>
      <c r="BD30" s="2"/>
      <c r="BH30" s="5"/>
      <c r="BI30" s="5"/>
      <c r="BJ30" s="17" t="s">
        <v>44</v>
      </c>
      <c r="BK30" s="7">
        <f>SUM(BK31)</f>
        <v>0</v>
      </c>
      <c r="BM30" s="2"/>
      <c r="BN30" s="2"/>
      <c r="BR30" s="5"/>
      <c r="BS30" s="5"/>
      <c r="BT30" s="17" t="s">
        <v>44</v>
      </c>
      <c r="BU30" s="7">
        <f>SUM(BU31)</f>
        <v>0</v>
      </c>
      <c r="BW30" s="2"/>
      <c r="BX30" s="2"/>
      <c r="CB30" s="5"/>
      <c r="CC30" s="5"/>
      <c r="CD30" s="17" t="s">
        <v>44</v>
      </c>
      <c r="CE30" s="7">
        <f>SUM(CE31)</f>
        <v>0</v>
      </c>
      <c r="CG30" s="2"/>
      <c r="CH30" s="2"/>
      <c r="CL30" s="5"/>
      <c r="CM30" s="5"/>
      <c r="CN30" s="17" t="s">
        <v>44</v>
      </c>
      <c r="CO30" s="7">
        <f>SUM(CO31)</f>
        <v>0</v>
      </c>
      <c r="CQ30" s="2"/>
      <c r="CR30" s="2"/>
      <c r="CV30" s="5"/>
      <c r="CW30" s="5"/>
      <c r="CX30" s="17" t="s">
        <v>44</v>
      </c>
      <c r="CY30" s="7">
        <f>SUM(CY31)</f>
        <v>0</v>
      </c>
      <c r="DA30" s="2"/>
      <c r="DB30" s="2"/>
      <c r="DF30" s="5"/>
      <c r="DG30" s="5"/>
      <c r="DH30" s="17" t="s">
        <v>44</v>
      </c>
      <c r="DI30" s="7">
        <f>SUM(DI31)</f>
        <v>0</v>
      </c>
      <c r="DK30" s="2"/>
      <c r="DL30" s="2"/>
    </row>
    <row r="31">
      <c r="B31" s="18" t="s">
        <v>45</v>
      </c>
      <c r="C31" s="7" t="str">
        <f>D31</f>
        <v/>
      </c>
      <c r="E31" s="2"/>
      <c r="F31" s="2"/>
      <c r="L31" s="18" t="s">
        <v>45</v>
      </c>
      <c r="M31" s="7" t="str">
        <f>N31</f>
        <v/>
      </c>
      <c r="O31" s="2"/>
      <c r="P31" s="2"/>
      <c r="T31" s="2"/>
      <c r="V31" s="18" t="s">
        <v>45</v>
      </c>
      <c r="W31" s="7" t="str">
        <f>X31</f>
        <v/>
      </c>
      <c r="Y31" s="2"/>
      <c r="Z31" s="2"/>
      <c r="AE31" s="5"/>
      <c r="AF31" s="18" t="s">
        <v>45</v>
      </c>
      <c r="AG31" s="7" t="str">
        <f>AH31</f>
        <v/>
      </c>
      <c r="AI31" s="2"/>
      <c r="AJ31" s="2"/>
      <c r="AO31" s="5"/>
      <c r="AP31" s="18" t="s">
        <v>45</v>
      </c>
      <c r="AQ31" s="7" t="str">
        <f>AR31</f>
        <v/>
      </c>
      <c r="AS31" s="2"/>
      <c r="AT31" s="2"/>
      <c r="AX31" s="5"/>
      <c r="AY31" s="5"/>
      <c r="AZ31" s="18" t="s">
        <v>45</v>
      </c>
      <c r="BA31" s="7" t="str">
        <f>BB31</f>
        <v/>
      </c>
      <c r="BC31" s="2"/>
      <c r="BD31" s="2"/>
      <c r="BH31" s="5"/>
      <c r="BI31" s="5"/>
      <c r="BJ31" s="18" t="s">
        <v>45</v>
      </c>
      <c r="BK31" s="7" t="str">
        <f>BL31</f>
        <v/>
      </c>
      <c r="BM31" s="2"/>
      <c r="BN31" s="2"/>
      <c r="BR31" s="5"/>
      <c r="BS31" s="5"/>
      <c r="BT31" s="18" t="s">
        <v>45</v>
      </c>
      <c r="BU31" s="7" t="str">
        <f>BV31</f>
        <v/>
      </c>
      <c r="BW31" s="2"/>
      <c r="BX31" s="2"/>
      <c r="CB31" s="5"/>
      <c r="CC31" s="5"/>
      <c r="CD31" s="18" t="s">
        <v>45</v>
      </c>
      <c r="CE31" s="7" t="str">
        <f>CF31</f>
        <v/>
      </c>
      <c r="CG31" s="2"/>
      <c r="CH31" s="2"/>
      <c r="CL31" s="5"/>
      <c r="CM31" s="5"/>
      <c r="CN31" s="18" t="s">
        <v>45</v>
      </c>
      <c r="CO31" s="7" t="str">
        <f>CP31</f>
        <v/>
      </c>
      <c r="CQ31" s="2"/>
      <c r="CR31" s="2"/>
      <c r="CV31" s="5"/>
      <c r="CW31" s="5"/>
      <c r="CX31" s="18" t="s">
        <v>45</v>
      </c>
      <c r="CY31" s="7" t="str">
        <f>CZ31</f>
        <v/>
      </c>
      <c r="DA31" s="2"/>
      <c r="DB31" s="2"/>
      <c r="DF31" s="5"/>
      <c r="DG31" s="5"/>
      <c r="DH31" s="18" t="s">
        <v>45</v>
      </c>
      <c r="DI31" s="7" t="str">
        <f>DJ31</f>
        <v/>
      </c>
      <c r="DK31" s="2"/>
      <c r="DL31" s="2"/>
    </row>
    <row r="32">
      <c r="B32" s="3"/>
      <c r="C32" s="7"/>
      <c r="E32" s="2"/>
      <c r="F32" s="2"/>
      <c r="L32" s="3"/>
      <c r="M32" s="7"/>
      <c r="O32" s="2"/>
      <c r="P32" s="2"/>
      <c r="T32" s="2"/>
      <c r="V32" s="3"/>
      <c r="W32" s="7"/>
      <c r="Y32" s="2"/>
      <c r="Z32" s="2"/>
      <c r="AE32" s="5"/>
      <c r="AF32" s="3"/>
      <c r="AG32" s="7"/>
      <c r="AI32" s="2"/>
      <c r="AJ32" s="2"/>
      <c r="AO32" s="5"/>
      <c r="AP32" s="3"/>
      <c r="AQ32" s="7"/>
      <c r="AS32" s="2"/>
      <c r="AT32" s="2"/>
      <c r="AX32" s="5"/>
      <c r="AY32" s="5"/>
      <c r="AZ32" s="3"/>
      <c r="BA32" s="7"/>
      <c r="BC32" s="2"/>
      <c r="BD32" s="2"/>
      <c r="BH32" s="5"/>
      <c r="BI32" s="5"/>
      <c r="BJ32" s="3"/>
      <c r="BK32" s="7"/>
      <c r="BM32" s="2"/>
      <c r="BN32" s="2"/>
      <c r="BR32" s="5"/>
      <c r="BS32" s="5"/>
      <c r="BT32" s="3"/>
      <c r="BU32" s="7"/>
      <c r="BW32" s="2"/>
      <c r="BX32" s="2"/>
      <c r="CB32" s="5"/>
      <c r="CC32" s="5"/>
      <c r="CD32" s="3"/>
      <c r="CE32" s="7"/>
      <c r="CG32" s="2"/>
      <c r="CH32" s="2"/>
      <c r="CL32" s="5"/>
      <c r="CM32" s="5"/>
      <c r="CN32" s="3"/>
      <c r="CO32" s="7"/>
      <c r="CQ32" s="2"/>
      <c r="CR32" s="2"/>
      <c r="CV32" s="5"/>
      <c r="CW32" s="5"/>
      <c r="CX32" s="3"/>
      <c r="CY32" s="7"/>
      <c r="DA32" s="2"/>
      <c r="DB32" s="2"/>
      <c r="DF32" s="5"/>
      <c r="DG32" s="5"/>
      <c r="DH32" s="3"/>
      <c r="DI32" s="7"/>
      <c r="DK32" s="2"/>
      <c r="DL32" s="2"/>
    </row>
    <row r="33">
      <c r="B33" s="3" t="s">
        <v>46</v>
      </c>
      <c r="C33" s="7">
        <f>SUM(C34:C35)</f>
        <v>0</v>
      </c>
      <c r="E33" s="2"/>
      <c r="F33" s="2"/>
      <c r="L33" s="3" t="s">
        <v>46</v>
      </c>
      <c r="M33" s="7">
        <f>SUM(M34:M35)</f>
        <v>0</v>
      </c>
      <c r="O33" s="2"/>
      <c r="P33" s="2"/>
      <c r="T33" s="2"/>
      <c r="V33" s="3" t="s">
        <v>46</v>
      </c>
      <c r="W33" s="7">
        <f>SUM(W34:W35)</f>
        <v>0</v>
      </c>
      <c r="Y33" s="2"/>
      <c r="Z33" s="2"/>
      <c r="AE33" s="5"/>
      <c r="AF33" s="3" t="s">
        <v>46</v>
      </c>
      <c r="AG33" s="7">
        <f>SUM(AG34:AG35)</f>
        <v>0</v>
      </c>
      <c r="AI33" s="2"/>
      <c r="AJ33" s="2"/>
      <c r="AO33" s="5"/>
      <c r="AP33" s="3" t="s">
        <v>46</v>
      </c>
      <c r="AQ33" s="7">
        <f>SUM(AQ34:AQ35)</f>
        <v>0</v>
      </c>
      <c r="AS33" s="2"/>
      <c r="AT33" s="2"/>
      <c r="AX33" s="5"/>
      <c r="AY33" s="5"/>
      <c r="AZ33" s="3" t="s">
        <v>46</v>
      </c>
      <c r="BA33" s="7">
        <f>SUM(BA34:BA35)</f>
        <v>0</v>
      </c>
      <c r="BC33" s="2"/>
      <c r="BD33" s="2"/>
      <c r="BH33" s="5"/>
      <c r="BI33" s="5"/>
      <c r="BJ33" s="3" t="s">
        <v>46</v>
      </c>
      <c r="BK33" s="7">
        <f>SUM(BK34:BK35)</f>
        <v>0</v>
      </c>
      <c r="BM33" s="2"/>
      <c r="BN33" s="2"/>
      <c r="BR33" s="5"/>
      <c r="BS33" s="5"/>
      <c r="BT33" s="3" t="s">
        <v>46</v>
      </c>
      <c r="BU33" s="7">
        <f>SUM(BU34:BU35)</f>
        <v>0</v>
      </c>
      <c r="BW33" s="2"/>
      <c r="BX33" s="2"/>
      <c r="CB33" s="5"/>
      <c r="CC33" s="5"/>
      <c r="CD33" s="3" t="s">
        <v>46</v>
      </c>
      <c r="CE33" s="7">
        <f>SUM(CE34:CE35)</f>
        <v>0</v>
      </c>
      <c r="CG33" s="2"/>
      <c r="CH33" s="2"/>
      <c r="CL33" s="5"/>
      <c r="CM33" s="5"/>
      <c r="CN33" s="3" t="s">
        <v>46</v>
      </c>
      <c r="CO33" s="7">
        <f>SUM(CO34:CO35)</f>
        <v>0</v>
      </c>
      <c r="CQ33" s="2"/>
      <c r="CR33" s="2"/>
      <c r="CV33" s="5"/>
      <c r="CW33" s="5"/>
      <c r="CX33" s="3" t="s">
        <v>46</v>
      </c>
      <c r="CY33" s="7">
        <f>SUM(CY34:CY35)</f>
        <v>0</v>
      </c>
      <c r="DA33" s="2"/>
      <c r="DB33" s="2"/>
      <c r="DF33" s="5"/>
      <c r="DG33" s="5"/>
      <c r="DH33" s="3" t="s">
        <v>46</v>
      </c>
      <c r="DI33" s="7">
        <f>SUM(DI34:DI35)</f>
        <v>0</v>
      </c>
      <c r="DK33" s="2"/>
      <c r="DL33" s="2"/>
    </row>
    <row r="34" ht="18.0" customHeight="1">
      <c r="B34" s="15"/>
      <c r="C34" s="7">
        <f t="shared" ref="C34:C35" si="72">SUM(D34:F34)</f>
        <v>0</v>
      </c>
      <c r="E34" s="2"/>
      <c r="F34" s="2"/>
      <c r="L34" s="10"/>
      <c r="M34" s="7">
        <f t="shared" ref="M34:M35" si="73">SUM(N34:P34)</f>
        <v>0</v>
      </c>
      <c r="N34" s="4"/>
      <c r="O34" s="2"/>
      <c r="P34" s="2"/>
      <c r="T34" s="2"/>
      <c r="V34" s="10"/>
      <c r="W34" s="7">
        <f t="shared" ref="W34:W35" si="74">SUM(X34:Z34)</f>
        <v>0</v>
      </c>
      <c r="X34" s="2"/>
      <c r="Y34" s="2"/>
      <c r="Z34" s="2"/>
      <c r="AE34" s="5"/>
      <c r="AF34" s="10"/>
      <c r="AG34" s="7">
        <f t="shared" ref="AG34:AG35" si="75">SUM(AH34:AJ34)</f>
        <v>0</v>
      </c>
      <c r="AH34" s="2"/>
      <c r="AI34" s="2"/>
      <c r="AJ34" s="2"/>
      <c r="AO34" s="5"/>
      <c r="AP34" s="10"/>
      <c r="AQ34" s="7">
        <f t="shared" ref="AQ34:AQ35" si="76">SUM(AR34:AT34)</f>
        <v>0</v>
      </c>
      <c r="AR34" s="2"/>
      <c r="AS34" s="2"/>
      <c r="AT34" s="2"/>
      <c r="AX34" s="5"/>
      <c r="AY34" s="5"/>
      <c r="AZ34" s="10"/>
      <c r="BA34" s="7">
        <f t="shared" ref="BA34:BA35" si="77">SUM(BB34:BD34)</f>
        <v>0</v>
      </c>
      <c r="BB34" s="2"/>
      <c r="BC34" s="2"/>
      <c r="BD34" s="2"/>
      <c r="BH34" s="5"/>
      <c r="BI34" s="5"/>
      <c r="BJ34" s="10"/>
      <c r="BK34" s="7">
        <f t="shared" ref="BK34:BK35" si="78">SUM(BL34:BN34)</f>
        <v>0</v>
      </c>
      <c r="BL34" s="2"/>
      <c r="BM34" s="2"/>
      <c r="BN34" s="2"/>
      <c r="BR34" s="5"/>
      <c r="BS34" s="5"/>
      <c r="BT34" s="10"/>
      <c r="BU34" s="7">
        <f t="shared" ref="BU34:BU35" si="79">SUM(BV34:BX34)</f>
        <v>0</v>
      </c>
      <c r="BV34" s="2"/>
      <c r="BW34" s="2"/>
      <c r="BX34" s="2"/>
      <c r="CB34" s="5"/>
      <c r="CC34" s="5"/>
      <c r="CD34" s="10"/>
      <c r="CE34" s="7">
        <f t="shared" ref="CE34:CE35" si="80">SUM(CF34:CH34)</f>
        <v>0</v>
      </c>
      <c r="CF34" s="2"/>
      <c r="CG34" s="2"/>
      <c r="CH34" s="2"/>
      <c r="CL34" s="5"/>
      <c r="CM34" s="5"/>
      <c r="CN34" s="10"/>
      <c r="CO34" s="7">
        <f t="shared" ref="CO34:CO35" si="81">SUM(CP34:CR34)</f>
        <v>0</v>
      </c>
      <c r="CP34" s="2"/>
      <c r="CQ34" s="2"/>
      <c r="CR34" s="2"/>
      <c r="CV34" s="5"/>
      <c r="CW34" s="5"/>
      <c r="CX34" s="10"/>
      <c r="CY34" s="7">
        <f t="shared" ref="CY34:CY35" si="82">SUM(CZ34:DB34)</f>
        <v>0</v>
      </c>
      <c r="CZ34" s="2"/>
      <c r="DA34" s="2"/>
      <c r="DB34" s="2"/>
      <c r="DF34" s="5"/>
      <c r="DG34" s="5"/>
      <c r="DH34" s="10"/>
      <c r="DI34" s="7">
        <f t="shared" ref="DI34:DI35" si="83">SUM(DJ34:DL34)</f>
        <v>0</v>
      </c>
      <c r="DJ34" s="2"/>
      <c r="DK34" s="2"/>
      <c r="DL34" s="2"/>
    </row>
    <row r="35">
      <c r="C35" s="16">
        <f t="shared" si="72"/>
        <v>0</v>
      </c>
      <c r="M35" s="7">
        <f t="shared" si="73"/>
        <v>0</v>
      </c>
      <c r="W35" s="7">
        <f t="shared" si="74"/>
        <v>0</v>
      </c>
      <c r="AE35" s="5"/>
      <c r="AG35" s="7">
        <f t="shared" si="75"/>
        <v>0</v>
      </c>
      <c r="AO35" s="5"/>
      <c r="AQ35" s="7">
        <f t="shared" si="76"/>
        <v>0</v>
      </c>
      <c r="AX35" s="5"/>
      <c r="AY35" s="5"/>
      <c r="BA35" s="7">
        <f t="shared" si="77"/>
        <v>0</v>
      </c>
      <c r="BH35" s="5"/>
      <c r="BI35" s="5"/>
      <c r="BK35" s="7">
        <f t="shared" si="78"/>
        <v>0</v>
      </c>
      <c r="BR35" s="5"/>
      <c r="BS35" s="5"/>
      <c r="BU35" s="7">
        <f t="shared" si="79"/>
        <v>0</v>
      </c>
      <c r="CB35" s="5"/>
      <c r="CC35" s="5"/>
      <c r="CE35" s="7">
        <f t="shared" si="80"/>
        <v>0</v>
      </c>
      <c r="CL35" s="5"/>
      <c r="CM35" s="5"/>
      <c r="CO35" s="7">
        <f t="shared" si="81"/>
        <v>0</v>
      </c>
      <c r="CV35" s="5"/>
      <c r="CW35" s="5"/>
      <c r="CY35" s="7">
        <f t="shared" si="82"/>
        <v>0</v>
      </c>
      <c r="DF35" s="5"/>
      <c r="DG35" s="5"/>
      <c r="DI35" s="7">
        <f t="shared" si="83"/>
        <v>0</v>
      </c>
    </row>
    <row r="36">
      <c r="AE36" s="5"/>
      <c r="AO36" s="5"/>
      <c r="AX36" s="5"/>
      <c r="AY36" s="5"/>
      <c r="BH36" s="5"/>
      <c r="BI36" s="5"/>
      <c r="BR36" s="5"/>
      <c r="BS36" s="5"/>
      <c r="CB36" s="5"/>
      <c r="CC36" s="5"/>
      <c r="CL36" s="5"/>
      <c r="CM36" s="5"/>
      <c r="CV36" s="5"/>
      <c r="CW36" s="5"/>
      <c r="DF36" s="5"/>
      <c r="DG36" s="5"/>
    </row>
    <row r="37">
      <c r="B37" s="19" t="s">
        <v>47</v>
      </c>
      <c r="C37" s="16">
        <f>SUM(C38:C39)</f>
        <v>0</v>
      </c>
      <c r="L37" s="19" t="s">
        <v>47</v>
      </c>
      <c r="M37" s="16">
        <f>SUM(M38:M39)</f>
        <v>0</v>
      </c>
      <c r="V37" s="19" t="s">
        <v>47</v>
      </c>
      <c r="W37" s="16">
        <f>SUM(W38:W39)</f>
        <v>0</v>
      </c>
      <c r="AE37" s="5"/>
      <c r="AF37" s="19" t="s">
        <v>47</v>
      </c>
      <c r="AG37" s="16">
        <f>SUM(AG38:AG39)</f>
        <v>0</v>
      </c>
      <c r="AO37" s="5"/>
      <c r="AP37" s="19" t="s">
        <v>47</v>
      </c>
      <c r="AQ37" s="16">
        <f>SUM(AQ38:AQ39)</f>
        <v>0</v>
      </c>
      <c r="AX37" s="5"/>
      <c r="AY37" s="5"/>
      <c r="AZ37" s="19" t="s">
        <v>47</v>
      </c>
      <c r="BA37" s="16">
        <f>SUM(BA38:BA39)</f>
        <v>0</v>
      </c>
      <c r="BH37" s="5"/>
      <c r="BI37" s="5"/>
      <c r="BJ37" s="19" t="s">
        <v>47</v>
      </c>
      <c r="BK37" s="16">
        <f>SUM(BK38:BK39)</f>
        <v>0</v>
      </c>
      <c r="BR37" s="5"/>
      <c r="BS37" s="5"/>
      <c r="BT37" s="19" t="s">
        <v>47</v>
      </c>
      <c r="BU37" s="16">
        <f>SUM(BU38:BU39)</f>
        <v>0</v>
      </c>
      <c r="CB37" s="5"/>
      <c r="CC37" s="5"/>
      <c r="CD37" s="19" t="s">
        <v>47</v>
      </c>
      <c r="CE37" s="16">
        <f>SUM(CE38:CE39)</f>
        <v>0</v>
      </c>
      <c r="CL37" s="5"/>
      <c r="CM37" s="5"/>
      <c r="CN37" s="19" t="s">
        <v>47</v>
      </c>
      <c r="CO37" s="16">
        <f>SUM(CO38:CO39)</f>
        <v>0</v>
      </c>
      <c r="CV37" s="5"/>
      <c r="CW37" s="5"/>
      <c r="CX37" s="19" t="s">
        <v>47</v>
      </c>
      <c r="CY37" s="16">
        <f>SUM(CY38:CY39)</f>
        <v>0</v>
      </c>
      <c r="DF37" s="5"/>
      <c r="DG37" s="5"/>
      <c r="DH37" s="19" t="s">
        <v>47</v>
      </c>
      <c r="DI37" s="16">
        <f>SUM(DI38:DI39)</f>
        <v>0</v>
      </c>
    </row>
    <row r="38">
      <c r="B38" s="20" t="s">
        <v>48</v>
      </c>
      <c r="C38" s="16">
        <f t="shared" ref="C38:C39" si="84">SUM(D38:F38)</f>
        <v>0</v>
      </c>
      <c r="L38" s="20" t="s">
        <v>48</v>
      </c>
      <c r="M38" s="16">
        <f t="shared" ref="M38:M39" si="85">SUM(N38:P38)</f>
        <v>0</v>
      </c>
      <c r="V38" s="20" t="s">
        <v>48</v>
      </c>
      <c r="W38" s="16">
        <f t="shared" ref="W38:W39" si="86">SUM(X38:Z38)</f>
        <v>0</v>
      </c>
      <c r="AE38" s="5"/>
      <c r="AF38" s="20" t="s">
        <v>48</v>
      </c>
      <c r="AG38" s="16">
        <f t="shared" ref="AG38:AG39" si="87">SUM(AH38:AJ38)</f>
        <v>0</v>
      </c>
      <c r="AO38" s="5"/>
      <c r="AP38" s="20" t="s">
        <v>48</v>
      </c>
      <c r="AQ38" s="16">
        <f t="shared" ref="AQ38:AQ39" si="88">SUM(AR38:AT38)</f>
        <v>0</v>
      </c>
      <c r="AX38" s="5"/>
      <c r="AY38" s="5"/>
      <c r="AZ38" s="20" t="s">
        <v>48</v>
      </c>
      <c r="BA38" s="16">
        <f t="shared" ref="BA38:BA39" si="89">SUM(BB38:BD38)</f>
        <v>0</v>
      </c>
      <c r="BH38" s="5"/>
      <c r="BI38" s="5"/>
      <c r="BJ38" s="20" t="s">
        <v>48</v>
      </c>
      <c r="BK38" s="16">
        <f t="shared" ref="BK38:BK39" si="90">SUM(BL38:BN38)</f>
        <v>0</v>
      </c>
      <c r="BR38" s="5"/>
      <c r="BS38" s="5"/>
      <c r="BT38" s="20" t="s">
        <v>48</v>
      </c>
      <c r="BU38" s="16">
        <f t="shared" ref="BU38:BU39" si="91">SUM(BV38:BX38)</f>
        <v>0</v>
      </c>
      <c r="CB38" s="5"/>
      <c r="CC38" s="5"/>
      <c r="CD38" s="20" t="s">
        <v>48</v>
      </c>
      <c r="CE38" s="16">
        <f t="shared" ref="CE38:CE39" si="92">SUM(CF38:CH38)</f>
        <v>0</v>
      </c>
      <c r="CL38" s="5"/>
      <c r="CM38" s="5"/>
      <c r="CN38" s="20" t="s">
        <v>48</v>
      </c>
      <c r="CO38" s="16">
        <f t="shared" ref="CO38:CO39" si="93">SUM(CP38:CR38)</f>
        <v>0</v>
      </c>
      <c r="CV38" s="5"/>
      <c r="CW38" s="5"/>
      <c r="CX38" s="20" t="s">
        <v>48</v>
      </c>
      <c r="CY38" s="16">
        <f t="shared" ref="CY38:CY39" si="94">SUM(CZ38:DB38)</f>
        <v>0</v>
      </c>
      <c r="DF38" s="5"/>
      <c r="DG38" s="5"/>
      <c r="DH38" s="20" t="s">
        <v>48</v>
      </c>
      <c r="DI38" s="16">
        <f t="shared" ref="DI38:DI39" si="95">SUM(DJ38:DL38)</f>
        <v>0</v>
      </c>
    </row>
    <row r="39">
      <c r="B39" s="14" t="s">
        <v>49</v>
      </c>
      <c r="C39" s="16">
        <f t="shared" si="84"/>
        <v>0</v>
      </c>
      <c r="L39" s="14" t="s">
        <v>49</v>
      </c>
      <c r="M39" s="16">
        <f t="shared" si="85"/>
        <v>0</v>
      </c>
      <c r="V39" s="14" t="s">
        <v>49</v>
      </c>
      <c r="W39" s="16">
        <f t="shared" si="86"/>
        <v>0</v>
      </c>
      <c r="AE39" s="5"/>
      <c r="AF39" s="14" t="s">
        <v>49</v>
      </c>
      <c r="AG39" s="16">
        <f t="shared" si="87"/>
        <v>0</v>
      </c>
      <c r="AO39" s="5"/>
      <c r="AP39" s="14" t="s">
        <v>49</v>
      </c>
      <c r="AQ39" s="16">
        <f t="shared" si="88"/>
        <v>0</v>
      </c>
      <c r="AX39" s="5"/>
      <c r="AY39" s="5"/>
      <c r="AZ39" s="14" t="s">
        <v>49</v>
      </c>
      <c r="BA39" s="16">
        <f t="shared" si="89"/>
        <v>0</v>
      </c>
      <c r="BH39" s="5"/>
      <c r="BI39" s="5"/>
      <c r="BJ39" s="14" t="s">
        <v>49</v>
      </c>
      <c r="BK39" s="16">
        <f t="shared" si="90"/>
        <v>0</v>
      </c>
      <c r="BR39" s="5"/>
      <c r="BS39" s="5"/>
      <c r="BT39" s="14" t="s">
        <v>49</v>
      </c>
      <c r="BU39" s="16">
        <f t="shared" si="91"/>
        <v>0</v>
      </c>
      <c r="CB39" s="5"/>
      <c r="CC39" s="5"/>
      <c r="CD39" s="14" t="s">
        <v>49</v>
      </c>
      <c r="CE39" s="16">
        <f t="shared" si="92"/>
        <v>0</v>
      </c>
      <c r="CL39" s="5"/>
      <c r="CM39" s="5"/>
      <c r="CN39" s="14" t="s">
        <v>49</v>
      </c>
      <c r="CO39" s="16">
        <f t="shared" si="93"/>
        <v>0</v>
      </c>
      <c r="CV39" s="5"/>
      <c r="CW39" s="5"/>
      <c r="CX39" s="14" t="s">
        <v>49</v>
      </c>
      <c r="CY39" s="16">
        <f t="shared" si="94"/>
        <v>0</v>
      </c>
      <c r="DF39" s="5"/>
      <c r="DG39" s="5"/>
      <c r="DH39" s="14" t="s">
        <v>49</v>
      </c>
      <c r="DI39" s="16">
        <f t="shared" si="95"/>
        <v>0</v>
      </c>
    </row>
    <row r="40">
      <c r="AE40" s="5"/>
      <c r="AO40" s="5"/>
      <c r="AX40" s="5"/>
      <c r="AY40" s="5"/>
      <c r="BH40" s="5"/>
      <c r="BI40" s="5"/>
      <c r="BR40" s="5"/>
      <c r="BS40" s="5"/>
      <c r="CB40" s="5"/>
      <c r="CC40" s="5"/>
      <c r="CL40" s="5"/>
      <c r="CM40" s="5"/>
      <c r="CV40" s="5"/>
      <c r="CW40" s="5"/>
      <c r="DF40" s="5"/>
      <c r="DG40" s="5"/>
    </row>
    <row r="41">
      <c r="B41" s="3" t="s">
        <v>50</v>
      </c>
      <c r="C41" s="7">
        <f>SUM(C42)</f>
        <v>0</v>
      </c>
      <c r="L41" s="3" t="s">
        <v>50</v>
      </c>
      <c r="M41" s="7">
        <f>SUM(M42)</f>
        <v>0</v>
      </c>
      <c r="V41" s="3" t="s">
        <v>50</v>
      </c>
      <c r="W41" s="7">
        <f>SUM(W42)</f>
        <v>0</v>
      </c>
      <c r="AE41" s="5"/>
      <c r="AF41" s="3" t="s">
        <v>50</v>
      </c>
      <c r="AG41" s="7">
        <f>SUM(AG42)</f>
        <v>0</v>
      </c>
      <c r="AO41" s="5"/>
      <c r="AP41" s="3" t="s">
        <v>50</v>
      </c>
      <c r="AQ41" s="7">
        <f>SUM(AQ42)</f>
        <v>0</v>
      </c>
      <c r="AX41" s="5"/>
      <c r="AY41" s="5"/>
      <c r="AZ41" s="3" t="s">
        <v>50</v>
      </c>
      <c r="BA41" s="7">
        <f>SUM(BA42)</f>
        <v>0</v>
      </c>
      <c r="BH41" s="5"/>
      <c r="BI41" s="5"/>
      <c r="BJ41" s="3" t="s">
        <v>50</v>
      </c>
      <c r="BK41" s="7">
        <f>SUM(BK42)</f>
        <v>0</v>
      </c>
      <c r="BR41" s="5"/>
      <c r="BS41" s="5"/>
      <c r="BT41" s="3" t="s">
        <v>50</v>
      </c>
      <c r="BU41" s="7">
        <f>SUM(BU42)</f>
        <v>0</v>
      </c>
      <c r="CB41" s="5"/>
      <c r="CC41" s="5"/>
      <c r="CD41" s="3" t="s">
        <v>50</v>
      </c>
      <c r="CE41" s="7">
        <f>SUM(CE42)</f>
        <v>0</v>
      </c>
      <c r="CL41" s="5"/>
      <c r="CM41" s="5"/>
      <c r="CN41" s="3" t="s">
        <v>50</v>
      </c>
      <c r="CO41" s="7">
        <f>SUM(CO42)</f>
        <v>0</v>
      </c>
      <c r="CV41" s="5"/>
      <c r="CW41" s="5"/>
      <c r="CX41" s="3" t="s">
        <v>50</v>
      </c>
      <c r="CY41" s="7">
        <f>SUM(CY42)</f>
        <v>0</v>
      </c>
      <c r="DF41" s="5"/>
      <c r="DG41" s="5"/>
      <c r="DH41" s="3" t="s">
        <v>50</v>
      </c>
      <c r="DI41" s="7">
        <f>SUM(DI42)</f>
        <v>0</v>
      </c>
    </row>
    <row r="42">
      <c r="B42" s="10"/>
      <c r="C42" s="7">
        <f>SUM(D42:F42)</f>
        <v>0</v>
      </c>
      <c r="L42" s="10"/>
      <c r="M42" s="7">
        <f>SUM(N42:P42)</f>
        <v>0</v>
      </c>
      <c r="V42" s="10"/>
      <c r="W42" s="7">
        <f>SUM(X42:Z42)</f>
        <v>0</v>
      </c>
      <c r="AE42" s="5"/>
      <c r="AF42" s="10"/>
      <c r="AG42" s="7">
        <f>SUM(AH42:AJ42)</f>
        <v>0</v>
      </c>
      <c r="AO42" s="5"/>
      <c r="AP42" s="10"/>
      <c r="AQ42" s="7">
        <f>SUM(AR42:AT42)</f>
        <v>0</v>
      </c>
      <c r="AX42" s="5"/>
      <c r="AY42" s="5"/>
      <c r="AZ42" s="10"/>
      <c r="BA42" s="7">
        <f>SUM(BB42:BD42)</f>
        <v>0</v>
      </c>
      <c r="BH42" s="5"/>
      <c r="BI42" s="5"/>
      <c r="BJ42" s="10"/>
      <c r="BK42" s="7">
        <f>SUM(BL42:BN42)</f>
        <v>0</v>
      </c>
      <c r="BR42" s="5"/>
      <c r="BS42" s="5"/>
      <c r="BT42" s="10"/>
      <c r="BU42" s="7">
        <f>SUM(BV42:BX42)</f>
        <v>0</v>
      </c>
      <c r="CB42" s="5"/>
      <c r="CC42" s="5"/>
      <c r="CD42" s="10"/>
      <c r="CE42" s="7">
        <f>SUM(CF42:CH42)</f>
        <v>0</v>
      </c>
      <c r="CL42" s="5"/>
      <c r="CM42" s="5"/>
      <c r="CN42" s="10"/>
      <c r="CO42" s="7">
        <f>SUM(CP42:CR42)</f>
        <v>0</v>
      </c>
      <c r="CV42" s="5"/>
      <c r="CW42" s="5"/>
      <c r="CX42" s="10"/>
      <c r="CY42" s="7">
        <f>SUM(CZ42:DB42)</f>
        <v>0</v>
      </c>
      <c r="DF42" s="5"/>
      <c r="DG42" s="5"/>
      <c r="DH42" s="10"/>
      <c r="DI42" s="7">
        <f>SUM(DJ42:DL42)</f>
        <v>0</v>
      </c>
    </row>
    <row r="43">
      <c r="AE43" s="5"/>
      <c r="AO43" s="5"/>
      <c r="AX43" s="5"/>
      <c r="AY43" s="5"/>
      <c r="BH43" s="5"/>
      <c r="BI43" s="5"/>
      <c r="BR43" s="5"/>
      <c r="BS43" s="5"/>
      <c r="CB43" s="5"/>
      <c r="CC43" s="5"/>
      <c r="CL43" s="5"/>
      <c r="CM43" s="5"/>
      <c r="CV43" s="5"/>
      <c r="CW43" s="5"/>
      <c r="DF43" s="5"/>
      <c r="DG43" s="5"/>
    </row>
    <row r="44">
      <c r="B44" s="8" t="s">
        <v>51</v>
      </c>
      <c r="C44" s="16">
        <f>SUM(C45)</f>
        <v>0</v>
      </c>
      <c r="L44" s="8" t="s">
        <v>51</v>
      </c>
      <c r="M44" s="16">
        <f>SUM(M45)</f>
        <v>0</v>
      </c>
      <c r="V44" s="8" t="s">
        <v>51</v>
      </c>
      <c r="W44" s="16">
        <f>SUM(W45)</f>
        <v>0</v>
      </c>
      <c r="AE44" s="5"/>
      <c r="AF44" s="8" t="s">
        <v>51</v>
      </c>
      <c r="AG44" s="16">
        <f>SUM(AG45)</f>
        <v>0</v>
      </c>
      <c r="AO44" s="5"/>
      <c r="AP44" s="8" t="s">
        <v>51</v>
      </c>
      <c r="AQ44" s="16">
        <f>SUM(AQ45)</f>
        <v>0</v>
      </c>
      <c r="AX44" s="5"/>
      <c r="AY44" s="5"/>
      <c r="AZ44" s="8" t="s">
        <v>51</v>
      </c>
      <c r="BA44" s="16">
        <f>SUM(BA45)</f>
        <v>0</v>
      </c>
      <c r="BH44" s="5"/>
      <c r="BI44" s="5"/>
      <c r="BJ44" s="8" t="s">
        <v>51</v>
      </c>
      <c r="BK44" s="16">
        <f>SUM(BK45)</f>
        <v>0</v>
      </c>
      <c r="BR44" s="5"/>
      <c r="BS44" s="5"/>
      <c r="BT44" s="8" t="s">
        <v>51</v>
      </c>
      <c r="BU44" s="16">
        <f>SUM(BU45)</f>
        <v>0</v>
      </c>
      <c r="CB44" s="5"/>
      <c r="CC44" s="5"/>
      <c r="CD44" s="8" t="s">
        <v>51</v>
      </c>
      <c r="CE44" s="16">
        <f>SUM(CE45)</f>
        <v>0</v>
      </c>
      <c r="CL44" s="5"/>
      <c r="CM44" s="5"/>
      <c r="CN44" s="8" t="s">
        <v>51</v>
      </c>
      <c r="CO44" s="16">
        <f>SUM(CO45)</f>
        <v>0</v>
      </c>
      <c r="CV44" s="5"/>
      <c r="CW44" s="5"/>
      <c r="CX44" s="8" t="s">
        <v>51</v>
      </c>
      <c r="CY44" s="16">
        <f>SUM(CY45)</f>
        <v>0</v>
      </c>
      <c r="DF44" s="5"/>
      <c r="DG44" s="5"/>
      <c r="DH44" s="8" t="s">
        <v>51</v>
      </c>
      <c r="DI44" s="16">
        <f>SUM(DI45)</f>
        <v>0</v>
      </c>
    </row>
    <row r="45">
      <c r="B45" s="20" t="s">
        <v>52</v>
      </c>
      <c r="C45" s="16">
        <f>SUM(D45:F45)</f>
        <v>0</v>
      </c>
      <c r="L45" s="20" t="s">
        <v>52</v>
      </c>
      <c r="M45" s="16">
        <f>SUM(N45:P45)</f>
        <v>0</v>
      </c>
      <c r="V45" s="20" t="s">
        <v>52</v>
      </c>
      <c r="W45" s="16">
        <f>SUM(X45:Z45)</f>
        <v>0</v>
      </c>
      <c r="AE45" s="5"/>
      <c r="AF45" s="20" t="s">
        <v>52</v>
      </c>
      <c r="AG45" s="16">
        <f>SUM(AH45:AJ45)</f>
        <v>0</v>
      </c>
      <c r="AO45" s="5"/>
      <c r="AP45" s="20" t="s">
        <v>52</v>
      </c>
      <c r="AQ45" s="16">
        <f>SUM(AR45:AT45)</f>
        <v>0</v>
      </c>
      <c r="AX45" s="5"/>
      <c r="AY45" s="5"/>
      <c r="AZ45" s="20" t="s">
        <v>52</v>
      </c>
      <c r="BA45" s="16">
        <f>SUM(BB45:BD45)</f>
        <v>0</v>
      </c>
      <c r="BH45" s="5"/>
      <c r="BI45" s="5"/>
      <c r="BJ45" s="20" t="s">
        <v>52</v>
      </c>
      <c r="BK45" s="16">
        <f>SUM(BL45:BN45)</f>
        <v>0</v>
      </c>
      <c r="BR45" s="5"/>
      <c r="BS45" s="5"/>
      <c r="BT45" s="20" t="s">
        <v>52</v>
      </c>
      <c r="BU45" s="16">
        <f>SUM(BV45:BX45)</f>
        <v>0</v>
      </c>
      <c r="CB45" s="5"/>
      <c r="CC45" s="5"/>
      <c r="CD45" s="20" t="s">
        <v>52</v>
      </c>
      <c r="CE45" s="16">
        <f>SUM(CF45:CH45)</f>
        <v>0</v>
      </c>
      <c r="CL45" s="5"/>
      <c r="CM45" s="5"/>
      <c r="CN45" s="20" t="s">
        <v>52</v>
      </c>
      <c r="CO45" s="16">
        <f>SUM(CP45:CR45)</f>
        <v>0</v>
      </c>
      <c r="CV45" s="5"/>
      <c r="CW45" s="5"/>
      <c r="CX45" s="20" t="s">
        <v>52</v>
      </c>
      <c r="CY45" s="16">
        <f>SUM(CZ45:DB45)</f>
        <v>0</v>
      </c>
      <c r="DF45" s="5"/>
      <c r="DG45" s="5"/>
      <c r="DH45" s="20" t="s">
        <v>52</v>
      </c>
      <c r="DI45" s="16">
        <f>SUM(DJ45:DL45)</f>
        <v>0</v>
      </c>
    </row>
    <row r="46">
      <c r="AE46" s="5"/>
      <c r="AO46" s="5"/>
      <c r="AX46" s="5"/>
      <c r="AY46" s="5"/>
      <c r="BH46" s="5"/>
      <c r="BI46" s="5"/>
      <c r="BR46" s="5"/>
      <c r="BS46" s="5"/>
      <c r="CB46" s="5"/>
      <c r="CC46" s="5"/>
      <c r="CL46" s="5"/>
      <c r="CM46" s="5"/>
      <c r="CV46" s="5"/>
      <c r="CW46" s="5"/>
      <c r="DF46" s="5"/>
      <c r="DG46" s="5"/>
    </row>
    <row r="47">
      <c r="AE47" s="5"/>
      <c r="AO47" s="5"/>
      <c r="AX47" s="5"/>
      <c r="AY47" s="5"/>
      <c r="BH47" s="5"/>
      <c r="BI47" s="5"/>
      <c r="BR47" s="5"/>
      <c r="BS47" s="5"/>
      <c r="CB47" s="5"/>
      <c r="CC47" s="5"/>
      <c r="CL47" s="5"/>
      <c r="CM47" s="5"/>
      <c r="CV47" s="5"/>
      <c r="CW47" s="5"/>
      <c r="DF47" s="5"/>
      <c r="DG47" s="5"/>
    </row>
    <row r="48">
      <c r="B48" s="3" t="s">
        <v>53</v>
      </c>
      <c r="C48" s="7">
        <f>SUM(C49:C50)</f>
        <v>0</v>
      </c>
      <c r="L48" s="3" t="s">
        <v>53</v>
      </c>
      <c r="M48" s="7">
        <f>SUM(M49:M50)</f>
        <v>0</v>
      </c>
      <c r="V48" s="3" t="s">
        <v>53</v>
      </c>
      <c r="W48" s="7">
        <f>SUM(W49:W50)</f>
        <v>0</v>
      </c>
      <c r="AE48" s="5"/>
      <c r="AF48" s="3" t="s">
        <v>53</v>
      </c>
      <c r="AG48" s="7">
        <f>SUM(AG49)</f>
        <v>0</v>
      </c>
      <c r="AO48" s="5"/>
      <c r="AP48" s="3" t="s">
        <v>53</v>
      </c>
      <c r="AQ48" s="7">
        <f>SUM(AQ49)</f>
        <v>0</v>
      </c>
      <c r="AX48" s="5"/>
      <c r="AY48" s="5"/>
      <c r="AZ48" s="3" t="s">
        <v>53</v>
      </c>
      <c r="BA48" s="7">
        <f>SUM(BA49)</f>
        <v>0</v>
      </c>
      <c r="BH48" s="5"/>
      <c r="BI48" s="5"/>
      <c r="BJ48" s="3" t="s">
        <v>53</v>
      </c>
      <c r="BK48" s="7">
        <f>SUM(BK49)</f>
        <v>0</v>
      </c>
      <c r="BR48" s="5"/>
      <c r="BS48" s="5"/>
      <c r="BT48" s="3" t="s">
        <v>53</v>
      </c>
      <c r="BU48" s="7">
        <f>SUM(BU49)</f>
        <v>0</v>
      </c>
      <c r="CB48" s="5"/>
      <c r="CC48" s="5"/>
      <c r="CD48" s="3" t="s">
        <v>53</v>
      </c>
      <c r="CE48" s="7">
        <f>SUM(CE49)</f>
        <v>0</v>
      </c>
      <c r="CL48" s="5"/>
      <c r="CM48" s="5"/>
      <c r="CN48" s="3" t="s">
        <v>53</v>
      </c>
      <c r="CO48" s="7">
        <f>SUM(CO49)</f>
        <v>0</v>
      </c>
      <c r="CV48" s="5"/>
      <c r="CW48" s="5"/>
      <c r="CX48" s="3" t="s">
        <v>53</v>
      </c>
      <c r="CY48" s="7">
        <f>SUM(CY49)</f>
        <v>0</v>
      </c>
      <c r="DF48" s="5"/>
      <c r="DG48" s="5"/>
      <c r="DH48" s="3" t="s">
        <v>53</v>
      </c>
      <c r="DI48" s="7">
        <f>SUM(DI49)</f>
        <v>0</v>
      </c>
    </row>
    <row r="49">
      <c r="B49" s="15"/>
      <c r="C49" s="7">
        <f>SUM(D49:F49)</f>
        <v>0</v>
      </c>
      <c r="L49" s="10" t="s">
        <v>54</v>
      </c>
      <c r="M49" s="7">
        <f>SUM(N49:P49)</f>
        <v>0</v>
      </c>
      <c r="V49" s="10" t="s">
        <v>54</v>
      </c>
      <c r="W49" s="7">
        <f>SUM(X49:Z49)</f>
        <v>0</v>
      </c>
      <c r="AE49" s="5"/>
      <c r="AF49" s="10" t="s">
        <v>54</v>
      </c>
      <c r="AG49" s="7">
        <f>SUM(AH49:AJ49)</f>
        <v>0</v>
      </c>
      <c r="AO49" s="5"/>
      <c r="AP49" s="10" t="s">
        <v>54</v>
      </c>
      <c r="AQ49" s="7">
        <f>SUM(AR49:AT49)</f>
        <v>0</v>
      </c>
      <c r="AX49" s="5"/>
      <c r="AY49" s="5"/>
      <c r="AZ49" s="10" t="s">
        <v>54</v>
      </c>
      <c r="BA49" s="7">
        <f>SUM(BB49:BD49)</f>
        <v>0</v>
      </c>
      <c r="BH49" s="5"/>
      <c r="BI49" s="5"/>
      <c r="BJ49" s="10" t="s">
        <v>54</v>
      </c>
      <c r="BK49" s="7">
        <f>SUM(BL49:BN49)</f>
        <v>0</v>
      </c>
      <c r="BR49" s="5"/>
      <c r="BS49" s="5"/>
      <c r="BT49" s="10" t="s">
        <v>54</v>
      </c>
      <c r="BU49" s="7">
        <f>SUM(BV49:BX49)</f>
        <v>0</v>
      </c>
      <c r="CB49" s="5"/>
      <c r="CC49" s="5"/>
      <c r="CD49" s="10" t="s">
        <v>54</v>
      </c>
      <c r="CE49" s="7">
        <f>SUM(CF49:CH49)</f>
        <v>0</v>
      </c>
      <c r="CL49" s="5"/>
      <c r="CM49" s="5"/>
      <c r="CN49" s="10" t="s">
        <v>54</v>
      </c>
      <c r="CO49" s="7">
        <f>SUM(CP49:CR49)</f>
        <v>0</v>
      </c>
      <c r="CV49" s="5"/>
      <c r="CW49" s="5"/>
      <c r="CX49" s="10" t="s">
        <v>54</v>
      </c>
      <c r="CY49" s="7">
        <f>SUM(CZ49:DB49)</f>
        <v>0</v>
      </c>
      <c r="DF49" s="5"/>
      <c r="DG49" s="5"/>
      <c r="DH49" s="10" t="s">
        <v>54</v>
      </c>
      <c r="DI49" s="7">
        <f>SUM(DJ49:DL49)</f>
        <v>0</v>
      </c>
    </row>
    <row r="50">
      <c r="C50" s="7">
        <f>SUM(D50)</f>
        <v>0</v>
      </c>
      <c r="L50" s="14" t="s">
        <v>55</v>
      </c>
      <c r="M50" s="7" t="str">
        <f>N50</f>
        <v/>
      </c>
      <c r="V50" s="14" t="s">
        <v>56</v>
      </c>
      <c r="W50" s="7" t="str">
        <f>X50</f>
        <v/>
      </c>
      <c r="AE50" s="5"/>
      <c r="AG50" s="7"/>
      <c r="AO50" s="5"/>
      <c r="AQ50" s="7"/>
      <c r="AX50" s="5"/>
      <c r="AY50" s="5"/>
      <c r="BA50" s="7"/>
      <c r="BH50" s="5"/>
      <c r="BI50" s="5"/>
      <c r="BK50" s="7"/>
      <c r="BR50" s="5"/>
      <c r="BS50" s="5"/>
      <c r="BU50" s="7"/>
      <c r="CB50" s="5"/>
      <c r="CC50" s="5"/>
      <c r="CE50" s="7"/>
      <c r="CL50" s="5"/>
      <c r="CM50" s="5"/>
      <c r="CO50" s="7"/>
      <c r="CV50" s="5"/>
      <c r="CW50" s="5"/>
      <c r="CY50" s="7"/>
      <c r="DF50" s="5"/>
      <c r="DG50" s="5"/>
      <c r="DI50" s="7"/>
    </row>
    <row r="51">
      <c r="C51" s="7"/>
      <c r="M51" s="7"/>
      <c r="W51" s="7"/>
      <c r="AE51" s="5"/>
      <c r="AG51" s="7"/>
      <c r="AO51" s="5"/>
      <c r="AQ51" s="7"/>
      <c r="AX51" s="5"/>
      <c r="AY51" s="5"/>
      <c r="BA51" s="7"/>
      <c r="BH51" s="5"/>
      <c r="BI51" s="5"/>
      <c r="BK51" s="7"/>
      <c r="BR51" s="5"/>
      <c r="BS51" s="5"/>
      <c r="BU51" s="7"/>
      <c r="CB51" s="5"/>
      <c r="CC51" s="5"/>
      <c r="CE51" s="7"/>
      <c r="CL51" s="5"/>
      <c r="CM51" s="5"/>
      <c r="CO51" s="7"/>
      <c r="CV51" s="5"/>
      <c r="CW51" s="5"/>
      <c r="CY51" s="7"/>
      <c r="DF51" s="5"/>
      <c r="DG51" s="5"/>
      <c r="DI51" s="7"/>
    </row>
    <row r="52">
      <c r="B52" s="19" t="s">
        <v>57</v>
      </c>
      <c r="C52" s="16">
        <f>SUM(C53:C55)</f>
        <v>0</v>
      </c>
      <c r="L52" s="19" t="s">
        <v>57</v>
      </c>
      <c r="M52" s="16">
        <f>SUM(M53)</f>
        <v>0</v>
      </c>
      <c r="V52" s="19" t="s">
        <v>57</v>
      </c>
      <c r="W52" s="16">
        <f>SUM(W53:W54)</f>
        <v>0</v>
      </c>
      <c r="AE52" s="5"/>
      <c r="AF52" s="19" t="s">
        <v>57</v>
      </c>
      <c r="AG52" s="16">
        <f>SUM(AG53)</f>
        <v>0</v>
      </c>
      <c r="AO52" s="5"/>
      <c r="AP52" s="19" t="s">
        <v>57</v>
      </c>
      <c r="AQ52" s="16">
        <f>SUM(AQ53)</f>
        <v>0</v>
      </c>
      <c r="AX52" s="5"/>
      <c r="AY52" s="5"/>
      <c r="AZ52" s="19" t="s">
        <v>57</v>
      </c>
      <c r="BA52" s="16">
        <f>SUM(BA53)</f>
        <v>0</v>
      </c>
      <c r="BH52" s="5"/>
      <c r="BI52" s="5"/>
      <c r="BJ52" s="19" t="s">
        <v>57</v>
      </c>
      <c r="BK52" s="16">
        <f>SUM(BK53)</f>
        <v>0</v>
      </c>
      <c r="BR52" s="5"/>
      <c r="BS52" s="5"/>
      <c r="BT52" s="19" t="s">
        <v>57</v>
      </c>
      <c r="BU52" s="16">
        <f>SUM(BU53)</f>
        <v>0</v>
      </c>
      <c r="CB52" s="5"/>
      <c r="CC52" s="5"/>
      <c r="CD52" s="19" t="s">
        <v>57</v>
      </c>
      <c r="CE52" s="16">
        <f>SUM(CE53)</f>
        <v>0</v>
      </c>
      <c r="CL52" s="5"/>
      <c r="CM52" s="5"/>
      <c r="CN52" s="19" t="s">
        <v>57</v>
      </c>
      <c r="CO52" s="16">
        <f>SUM(CO53)</f>
        <v>0</v>
      </c>
      <c r="CV52" s="5"/>
      <c r="CW52" s="5"/>
      <c r="CX52" s="19" t="s">
        <v>57</v>
      </c>
      <c r="CY52" s="16">
        <f>SUM(CY53)</f>
        <v>0</v>
      </c>
      <c r="DF52" s="5"/>
      <c r="DG52" s="5"/>
      <c r="DH52" s="19" t="s">
        <v>57</v>
      </c>
      <c r="DI52" s="16">
        <f>SUM(DI53)</f>
        <v>0</v>
      </c>
    </row>
    <row r="53">
      <c r="C53" s="7">
        <f t="shared" ref="C53:C55" si="96">SUM(D53:F53)</f>
        <v>0</v>
      </c>
      <c r="L53" s="14" t="s">
        <v>58</v>
      </c>
      <c r="M53" s="7">
        <f>SUM(N53:P53)</f>
        <v>0</v>
      </c>
      <c r="V53" s="14" t="s">
        <v>58</v>
      </c>
      <c r="W53" s="7">
        <f t="shared" ref="W53:W54" si="97">SUM(X53:Z53)</f>
        <v>0</v>
      </c>
      <c r="AE53" s="5"/>
      <c r="AG53" s="7">
        <f>SUM(AH53:AJ53)</f>
        <v>0</v>
      </c>
      <c r="AO53" s="5"/>
      <c r="AQ53" s="7">
        <f>SUM(AR53:AT53)</f>
        <v>0</v>
      </c>
      <c r="AX53" s="5"/>
      <c r="AY53" s="5"/>
      <c r="BA53" s="7">
        <f>SUM(BB53:BD53)</f>
        <v>0</v>
      </c>
      <c r="BH53" s="5"/>
      <c r="BI53" s="5"/>
      <c r="BK53" s="7">
        <f>SUM(BL53:BN53)</f>
        <v>0</v>
      </c>
      <c r="BR53" s="5"/>
      <c r="BS53" s="5"/>
      <c r="BU53" s="7">
        <f>SUM(BV53:BX53)</f>
        <v>0</v>
      </c>
      <c r="CB53" s="5"/>
      <c r="CC53" s="5"/>
      <c r="CE53" s="7">
        <f>SUM(CF53:CH53)</f>
        <v>0</v>
      </c>
      <c r="CL53" s="5"/>
      <c r="CM53" s="5"/>
      <c r="CO53" s="7">
        <f>SUM(CP53:CR53)</f>
        <v>0</v>
      </c>
      <c r="CV53" s="5"/>
      <c r="CW53" s="5"/>
      <c r="CY53" s="7">
        <f>SUM(CZ53:DB53)</f>
        <v>0</v>
      </c>
      <c r="DF53" s="5"/>
      <c r="DG53" s="5"/>
      <c r="DI53" s="7">
        <f>SUM(DJ53:DL53)</f>
        <v>0</v>
      </c>
    </row>
    <row r="54">
      <c r="C54" s="16">
        <f t="shared" si="96"/>
        <v>0</v>
      </c>
      <c r="V54" s="14" t="s">
        <v>59</v>
      </c>
      <c r="W54" s="16">
        <f t="shared" si="97"/>
        <v>0</v>
      </c>
      <c r="AE54" s="5"/>
      <c r="AO54" s="5"/>
      <c r="AX54" s="5"/>
      <c r="AY54" s="5"/>
      <c r="BH54" s="5"/>
      <c r="BI54" s="5"/>
      <c r="BR54" s="5"/>
      <c r="BS54" s="5"/>
      <c r="CB54" s="5"/>
      <c r="CC54" s="5"/>
      <c r="CL54" s="5"/>
      <c r="CM54" s="5"/>
      <c r="CV54" s="5"/>
      <c r="CW54" s="5"/>
      <c r="DF54" s="5"/>
      <c r="DG54" s="5"/>
    </row>
    <row r="55">
      <c r="C55" s="14">
        <f t="shared" si="96"/>
        <v>0</v>
      </c>
      <c r="AE55" s="5"/>
      <c r="AO55" s="5"/>
      <c r="AX55" s="5"/>
      <c r="AY55" s="5"/>
      <c r="BH55" s="5"/>
      <c r="BI55" s="5"/>
      <c r="BR55" s="5"/>
      <c r="BS55" s="5"/>
      <c r="CB55" s="5"/>
      <c r="CC55" s="5"/>
      <c r="CL55" s="5"/>
      <c r="CM55" s="5"/>
      <c r="CV55" s="5"/>
      <c r="CW55" s="5"/>
      <c r="DF55" s="5"/>
      <c r="DG55" s="5"/>
    </row>
    <row r="56">
      <c r="AE56" s="5"/>
      <c r="AO56" s="5"/>
      <c r="AX56" s="5"/>
      <c r="AY56" s="5"/>
      <c r="BH56" s="5"/>
      <c r="BI56" s="5"/>
      <c r="BR56" s="5"/>
      <c r="BS56" s="5"/>
      <c r="CB56" s="5"/>
      <c r="CC56" s="5"/>
      <c r="CL56" s="5"/>
      <c r="CM56" s="5"/>
      <c r="CV56" s="5"/>
      <c r="CW56" s="5"/>
      <c r="DF56" s="5"/>
      <c r="DG56" s="5"/>
    </row>
    <row r="57">
      <c r="B57" s="19" t="s">
        <v>60</v>
      </c>
      <c r="C57" s="16">
        <f>SUM(C58:C59)</f>
        <v>0</v>
      </c>
      <c r="L57" s="19" t="s">
        <v>60</v>
      </c>
      <c r="M57" s="16">
        <f>SUM(M58:M59)</f>
        <v>0</v>
      </c>
      <c r="V57" s="19" t="s">
        <v>60</v>
      </c>
      <c r="W57" s="16">
        <f>SUM(W58:W59)</f>
        <v>0</v>
      </c>
      <c r="AE57" s="5"/>
      <c r="AF57" s="19" t="s">
        <v>60</v>
      </c>
      <c r="AG57" s="16">
        <f>SUM(AG58:AG59)</f>
        <v>0</v>
      </c>
      <c r="AO57" s="5"/>
      <c r="AP57" s="19" t="s">
        <v>60</v>
      </c>
      <c r="AQ57" s="16">
        <f>SUM(AQ58:AQ59)</f>
        <v>0</v>
      </c>
      <c r="AX57" s="5"/>
      <c r="AY57" s="5"/>
      <c r="AZ57" s="19" t="s">
        <v>60</v>
      </c>
      <c r="BA57" s="16">
        <f>SUM(BA58:BA59)</f>
        <v>0</v>
      </c>
      <c r="BH57" s="5"/>
      <c r="BI57" s="5"/>
      <c r="BJ57" s="19" t="s">
        <v>60</v>
      </c>
      <c r="BK57" s="16">
        <f>SUM(BK58:BK59)</f>
        <v>0</v>
      </c>
      <c r="BR57" s="5"/>
      <c r="BS57" s="5"/>
      <c r="BT57" s="19" t="s">
        <v>60</v>
      </c>
      <c r="BU57" s="16">
        <f>SUM(BU58:BU59)</f>
        <v>0</v>
      </c>
      <c r="CB57" s="5"/>
      <c r="CC57" s="5"/>
      <c r="CD57" s="19" t="s">
        <v>60</v>
      </c>
      <c r="CE57" s="16">
        <f>SUM(CE58:CE59)</f>
        <v>0</v>
      </c>
      <c r="CL57" s="5"/>
      <c r="CM57" s="5"/>
      <c r="CN57" s="19" t="s">
        <v>60</v>
      </c>
      <c r="CO57" s="16">
        <f>SUM(CO58:CO59)</f>
        <v>0</v>
      </c>
      <c r="CV57" s="5"/>
      <c r="CW57" s="5"/>
      <c r="CX57" s="19" t="s">
        <v>60</v>
      </c>
      <c r="CY57" s="16">
        <f>SUM(CY58:CY59)</f>
        <v>0</v>
      </c>
      <c r="DF57" s="5"/>
      <c r="DG57" s="5"/>
      <c r="DH57" s="19" t="s">
        <v>60</v>
      </c>
      <c r="DI57" s="16">
        <f>SUM(DI58:DI59)</f>
        <v>0</v>
      </c>
    </row>
    <row r="58">
      <c r="C58" s="16">
        <f t="shared" ref="C58:C59" si="98">SUM(D58:F58)</f>
        <v>0</v>
      </c>
      <c r="L58" s="20"/>
      <c r="M58" s="16">
        <f t="shared" ref="M58:M59" si="99">SUM(N58:P58)</f>
        <v>0</v>
      </c>
      <c r="W58" s="16">
        <f t="shared" ref="W58:W59" si="100">SUM(X58:Z58)</f>
        <v>0</v>
      </c>
      <c r="AG58" s="16">
        <f t="shared" ref="AG58:AG59" si="101">SUM(AH58:AJ58)</f>
        <v>0</v>
      </c>
      <c r="AQ58" s="16">
        <f t="shared" ref="AQ58:AQ59" si="102">SUM(AR58:AT58)</f>
        <v>0</v>
      </c>
      <c r="BA58" s="16">
        <f t="shared" ref="BA58:BA59" si="103">SUM(BB58:BD58)</f>
        <v>0</v>
      </c>
      <c r="BK58" s="16">
        <f t="shared" ref="BK58:BK59" si="104">SUM(BL58:BN58)</f>
        <v>0</v>
      </c>
      <c r="BU58" s="16">
        <f t="shared" ref="BU58:BU59" si="105">SUM(BV58:BX58)</f>
        <v>0</v>
      </c>
      <c r="CB58" s="5"/>
      <c r="CC58" s="5"/>
      <c r="CD58" s="5"/>
      <c r="CE58" s="16">
        <f t="shared" ref="CE58:CE59" si="106">SUM(CF58:CH58)</f>
        <v>0</v>
      </c>
      <c r="CF58" s="5"/>
      <c r="CG58" s="5"/>
      <c r="CH58" s="5"/>
      <c r="CI58" s="5"/>
      <c r="CJ58" s="5"/>
      <c r="CK58" s="5"/>
      <c r="CL58" s="5"/>
      <c r="CO58" s="16">
        <f t="shared" ref="CO58:CO59" si="107">SUM(CP58:CR58)</f>
        <v>0</v>
      </c>
      <c r="CY58" s="16">
        <f t="shared" ref="CY58:CY59" si="108">SUM(CZ58:DB58)</f>
        <v>0</v>
      </c>
      <c r="DF58" s="5"/>
      <c r="DG58" s="5"/>
      <c r="DH58" s="5"/>
      <c r="DI58" s="16">
        <f t="shared" ref="DI58:DI59" si="109">SUM(DJ58:DL58)</f>
        <v>0</v>
      </c>
      <c r="DJ58" s="5"/>
      <c r="DK58" s="5"/>
      <c r="DL58" s="5"/>
      <c r="DM58" s="5"/>
      <c r="DN58" s="5"/>
      <c r="DO58" s="5"/>
      <c r="DP58" s="5"/>
      <c r="DQ58" s="5"/>
    </row>
    <row r="59">
      <c r="C59" s="16">
        <f t="shared" si="98"/>
        <v>0</v>
      </c>
      <c r="M59" s="16">
        <f t="shared" si="99"/>
        <v>0</v>
      </c>
      <c r="W59" s="16">
        <f t="shared" si="100"/>
        <v>0</v>
      </c>
      <c r="AG59" s="16">
        <f t="shared" si="101"/>
        <v>0</v>
      </c>
      <c r="AQ59" s="16">
        <f t="shared" si="102"/>
        <v>0</v>
      </c>
      <c r="BA59" s="16">
        <f t="shared" si="103"/>
        <v>0</v>
      </c>
      <c r="BK59" s="16">
        <f t="shared" si="104"/>
        <v>0</v>
      </c>
      <c r="BU59" s="16">
        <f t="shared" si="105"/>
        <v>0</v>
      </c>
      <c r="CB59" s="5"/>
      <c r="CC59" s="5"/>
      <c r="CD59" s="5"/>
      <c r="CE59" s="16">
        <f t="shared" si="106"/>
        <v>0</v>
      </c>
      <c r="CF59" s="5"/>
      <c r="CG59" s="5"/>
      <c r="CH59" s="5"/>
      <c r="CI59" s="5"/>
      <c r="CJ59" s="5"/>
      <c r="CK59" s="5"/>
      <c r="CL59" s="5"/>
      <c r="CO59" s="16">
        <f t="shared" si="107"/>
        <v>0</v>
      </c>
      <c r="CY59" s="16">
        <f t="shared" si="108"/>
        <v>0</v>
      </c>
      <c r="DF59" s="5"/>
      <c r="DG59" s="5"/>
      <c r="DH59" s="5"/>
      <c r="DI59" s="16">
        <f t="shared" si="109"/>
        <v>0</v>
      </c>
      <c r="DJ59" s="5"/>
      <c r="DK59" s="5"/>
      <c r="DL59" s="5"/>
      <c r="DM59" s="5"/>
      <c r="DN59" s="5"/>
      <c r="DO59" s="5"/>
      <c r="DP59" s="5"/>
      <c r="DQ59" s="5"/>
    </row>
    <row r="60"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</row>
    <row r="61"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</row>
    <row r="62"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</row>
    <row r="63">
      <c r="B63" s="13" t="s">
        <v>28</v>
      </c>
      <c r="C63" s="5" t="str">
        <f>IF(G65&gt;0 ,SUM(G65:G69),)</f>
        <v/>
      </c>
      <c r="D63" s="5"/>
      <c r="E63" s="5"/>
      <c r="F63" s="5"/>
      <c r="L63" s="13" t="s">
        <v>28</v>
      </c>
      <c r="M63" s="5" t="str">
        <f>IF(Q65&gt;0 ,SUM(Q65:Q69),)</f>
        <v/>
      </c>
      <c r="N63" s="5"/>
      <c r="O63" s="5"/>
      <c r="P63" s="5"/>
      <c r="V63" s="13" t="s">
        <v>28</v>
      </c>
      <c r="W63" s="5" t="str">
        <f>IF(AA65&gt;0 ,SUM(AA65:AA69),)</f>
        <v/>
      </c>
      <c r="X63" s="5"/>
      <c r="Y63" s="5"/>
      <c r="Z63" s="5"/>
      <c r="AF63" s="13" t="s">
        <v>28</v>
      </c>
      <c r="AG63" s="5" t="str">
        <f>IF(AK65&gt;0 ,SUM(AK65:AK69),)</f>
        <v/>
      </c>
      <c r="AH63" s="5"/>
      <c r="AI63" s="5"/>
      <c r="AJ63" s="5"/>
      <c r="AP63" s="13" t="s">
        <v>28</v>
      </c>
      <c r="AQ63" s="5" t="str">
        <f>IF(AU65&gt;0 ,SUM(AU65:AU69),)</f>
        <v/>
      </c>
      <c r="AR63" s="5"/>
      <c r="AS63" s="5"/>
      <c r="AT63" s="5"/>
      <c r="AZ63" s="13" t="s">
        <v>28</v>
      </c>
      <c r="BA63" s="5" t="str">
        <f>IF(BE65&gt;0 ,SUM(BE65:BE69),)</f>
        <v/>
      </c>
      <c r="BB63" s="5"/>
      <c r="BC63" s="5"/>
      <c r="BD63" s="5"/>
      <c r="BJ63" s="13" t="s">
        <v>28</v>
      </c>
      <c r="BK63" s="5" t="str">
        <f>IF(BO65&gt;0 ,SUM(BO65:BO69),)</f>
        <v/>
      </c>
      <c r="BL63" s="5"/>
      <c r="BM63" s="5"/>
      <c r="BN63" s="5"/>
      <c r="BT63" s="13" t="s">
        <v>28</v>
      </c>
      <c r="BU63" s="5" t="str">
        <f>IF(BY65&gt;0 ,SUM(BY65:BY69),)</f>
        <v/>
      </c>
      <c r="BV63" s="5"/>
      <c r="BW63" s="5"/>
      <c r="BX63" s="5"/>
      <c r="CD63" s="13" t="s">
        <v>28</v>
      </c>
      <c r="CE63" s="5" t="str">
        <f>IF(CI65&gt;0 ,SUM(CI65:CI69),)</f>
        <v/>
      </c>
      <c r="CF63" s="5"/>
      <c r="CG63" s="5"/>
      <c r="CH63" s="5"/>
      <c r="CN63" s="13" t="s">
        <v>28</v>
      </c>
      <c r="CO63" s="5" t="str">
        <f>IF(CS65&gt;0 ,SUM(CS65:CS69),)</f>
        <v/>
      </c>
      <c r="CP63" s="5"/>
      <c r="CQ63" s="5"/>
      <c r="CR63" s="5"/>
      <c r="CX63" s="13" t="s">
        <v>28</v>
      </c>
      <c r="CY63" s="5" t="str">
        <f>IF(DC65&gt;0 ,SUM(DC65:DC69),)</f>
        <v/>
      </c>
      <c r="CZ63" s="5"/>
      <c r="DA63" s="5"/>
      <c r="DB63" s="5"/>
      <c r="DH63" s="13" t="s">
        <v>28</v>
      </c>
      <c r="DI63" s="5" t="str">
        <f>IF(DM65&gt;0 ,SUM(DM65:DM69),)</f>
        <v/>
      </c>
      <c r="DJ63" s="5"/>
      <c r="DK63" s="5"/>
      <c r="DL63" s="5"/>
    </row>
    <row r="64">
      <c r="B64" s="14" t="s">
        <v>61</v>
      </c>
      <c r="C64" s="14" t="s">
        <v>62</v>
      </c>
      <c r="D64" s="14" t="s">
        <v>63</v>
      </c>
      <c r="E64" s="14" t="s">
        <v>64</v>
      </c>
      <c r="F64" s="14" t="s">
        <v>65</v>
      </c>
      <c r="G64" s="14" t="s">
        <v>66</v>
      </c>
      <c r="L64" s="14" t="s">
        <v>61</v>
      </c>
      <c r="M64" s="14" t="s">
        <v>62</v>
      </c>
      <c r="N64" s="14" t="s">
        <v>63</v>
      </c>
      <c r="O64" s="14" t="s">
        <v>64</v>
      </c>
      <c r="P64" s="14" t="s">
        <v>65</v>
      </c>
      <c r="Q64" s="14" t="s">
        <v>66</v>
      </c>
      <c r="V64" s="14" t="s">
        <v>61</v>
      </c>
      <c r="W64" s="14" t="s">
        <v>62</v>
      </c>
      <c r="X64" s="14" t="s">
        <v>63</v>
      </c>
      <c r="Y64" s="14" t="s">
        <v>64</v>
      </c>
      <c r="Z64" s="14" t="s">
        <v>65</v>
      </c>
      <c r="AA64" s="14" t="s">
        <v>66</v>
      </c>
      <c r="AF64" s="14" t="s">
        <v>61</v>
      </c>
      <c r="AG64" s="14" t="s">
        <v>62</v>
      </c>
      <c r="AH64" s="14" t="s">
        <v>63</v>
      </c>
      <c r="AI64" s="14" t="s">
        <v>64</v>
      </c>
      <c r="AJ64" s="14" t="s">
        <v>65</v>
      </c>
      <c r="AK64" s="14" t="s">
        <v>66</v>
      </c>
      <c r="AP64" s="14" t="s">
        <v>61</v>
      </c>
      <c r="AQ64" s="14" t="s">
        <v>62</v>
      </c>
      <c r="AR64" s="14" t="s">
        <v>63</v>
      </c>
      <c r="AS64" s="14" t="s">
        <v>64</v>
      </c>
      <c r="AT64" s="14" t="s">
        <v>65</v>
      </c>
      <c r="AU64" s="14" t="s">
        <v>66</v>
      </c>
      <c r="AZ64" s="14" t="s">
        <v>61</v>
      </c>
      <c r="BA64" s="14" t="s">
        <v>62</v>
      </c>
      <c r="BB64" s="14" t="s">
        <v>63</v>
      </c>
      <c r="BC64" s="14" t="s">
        <v>64</v>
      </c>
      <c r="BD64" s="14" t="s">
        <v>65</v>
      </c>
      <c r="BE64" s="14" t="s">
        <v>66</v>
      </c>
      <c r="BJ64" s="14" t="s">
        <v>61</v>
      </c>
      <c r="BK64" s="14" t="s">
        <v>62</v>
      </c>
      <c r="BL64" s="14" t="s">
        <v>63</v>
      </c>
      <c r="BM64" s="14" t="s">
        <v>64</v>
      </c>
      <c r="BN64" s="14" t="s">
        <v>65</v>
      </c>
      <c r="BO64" s="14" t="s">
        <v>66</v>
      </c>
      <c r="BT64" s="14" t="s">
        <v>61</v>
      </c>
      <c r="BU64" s="14" t="s">
        <v>62</v>
      </c>
      <c r="BV64" s="14" t="s">
        <v>63</v>
      </c>
      <c r="BW64" s="14" t="s">
        <v>64</v>
      </c>
      <c r="BX64" s="14" t="s">
        <v>65</v>
      </c>
      <c r="BY64" s="14" t="s">
        <v>66</v>
      </c>
      <c r="CD64" s="14" t="s">
        <v>61</v>
      </c>
      <c r="CE64" s="14" t="s">
        <v>62</v>
      </c>
      <c r="CF64" s="14" t="s">
        <v>63</v>
      </c>
      <c r="CG64" s="14" t="s">
        <v>64</v>
      </c>
      <c r="CH64" s="14" t="s">
        <v>65</v>
      </c>
      <c r="CI64" s="14" t="s">
        <v>66</v>
      </c>
      <c r="CN64" s="14" t="s">
        <v>61</v>
      </c>
      <c r="CO64" s="14" t="s">
        <v>62</v>
      </c>
      <c r="CP64" s="14" t="s">
        <v>63</v>
      </c>
      <c r="CQ64" s="14" t="s">
        <v>64</v>
      </c>
      <c r="CR64" s="14" t="s">
        <v>65</v>
      </c>
      <c r="CS64" s="14" t="s">
        <v>66</v>
      </c>
      <c r="CX64" s="14" t="s">
        <v>61</v>
      </c>
      <c r="CY64" s="14" t="s">
        <v>62</v>
      </c>
      <c r="CZ64" s="14" t="s">
        <v>63</v>
      </c>
      <c r="DA64" s="14" t="s">
        <v>64</v>
      </c>
      <c r="DB64" s="14" t="s">
        <v>65</v>
      </c>
      <c r="DC64" s="14" t="s">
        <v>66</v>
      </c>
      <c r="DH64" s="14" t="s">
        <v>61</v>
      </c>
      <c r="DI64" s="14" t="s">
        <v>62</v>
      </c>
      <c r="DJ64" s="14" t="s">
        <v>63</v>
      </c>
      <c r="DK64" s="14" t="s">
        <v>64</v>
      </c>
      <c r="DL64" s="14" t="s">
        <v>65</v>
      </c>
      <c r="DM64" s="14" t="s">
        <v>66</v>
      </c>
    </row>
    <row r="65">
      <c r="B65" s="13"/>
      <c r="C65" s="13"/>
      <c r="D65" s="5">
        <f t="shared" ref="D65:D69" si="110">ROUND(IF(B65&gt;0, C65/B65,0),3)</f>
        <v>0</v>
      </c>
      <c r="E65" s="16">
        <f t="shared" ref="E65:E69" si="111">ROUND(IF(D65&gt;0, 100/D65,0),3)</f>
        <v>0</v>
      </c>
      <c r="G65" s="5">
        <f t="shared" ref="G65:G69" si="112">ROUND(B65*F65,2)</f>
        <v>0</v>
      </c>
      <c r="L65" s="13"/>
      <c r="M65" s="13"/>
      <c r="N65" s="5">
        <f t="shared" ref="N65:N69" si="113">ROUND(IF(L65&gt;0, M65/L65,0),3)</f>
        <v>0</v>
      </c>
      <c r="O65" s="16">
        <f t="shared" ref="O65:O66" si="114">ROUND(IF(N65&gt;0, 100/N65,0),3)</f>
        <v>0</v>
      </c>
      <c r="Q65" s="5">
        <f t="shared" ref="Q65:Q69" si="115">ROUND(L65*P65,2)</f>
        <v>0</v>
      </c>
      <c r="V65" s="13"/>
      <c r="W65" s="13"/>
      <c r="X65" s="5">
        <f t="shared" ref="X65:X69" si="116">ROUND(IF(V65&gt;0, W65/V65,0),3)</f>
        <v>0</v>
      </c>
      <c r="Y65" s="16">
        <f t="shared" ref="Y65:Y66" si="117">ROUND(IF(X65&gt;0, 100/X65,0),3)</f>
        <v>0</v>
      </c>
      <c r="AA65" s="5">
        <f t="shared" ref="AA65:AA67" si="118">ROUND(V65*Z65,2)</f>
        <v>0</v>
      </c>
      <c r="AF65" s="13"/>
      <c r="AG65" s="13"/>
      <c r="AH65" s="5">
        <f t="shared" ref="AH65:AH69" si="119">ROUND(IF(AF65&gt;0, AG65/AF65,0),3)</f>
        <v>0</v>
      </c>
      <c r="AI65" s="16">
        <f t="shared" ref="AI65:AI66" si="120">ROUND(IF(AH65&gt;0, 100/AH65,0),3)</f>
        <v>0</v>
      </c>
      <c r="AK65" s="5">
        <f t="shared" ref="AK65:AK67" si="121">ROUND(AF65*AJ65,2)</f>
        <v>0</v>
      </c>
      <c r="AP65" s="13"/>
      <c r="AQ65" s="13"/>
      <c r="AR65" s="5">
        <f t="shared" ref="AR65:AR69" si="122">ROUND(IF(AP65&gt;0, AQ65/AP65,0),3)</f>
        <v>0</v>
      </c>
      <c r="AS65" s="16">
        <f t="shared" ref="AS65:AS66" si="123">ROUND(IF(AR65&gt;0, 100/AR65,0),3)</f>
        <v>0</v>
      </c>
      <c r="AU65" s="5">
        <f t="shared" ref="AU65:AU69" si="124">ROUND(AP65*AT65,2)</f>
        <v>0</v>
      </c>
      <c r="AZ65" s="13"/>
      <c r="BA65" s="13"/>
      <c r="BB65" s="5">
        <f t="shared" ref="BB65:BB69" si="125">ROUND(IF(AZ65&gt;0, BA65/AZ65,0),3)</f>
        <v>0</v>
      </c>
      <c r="BC65" s="16">
        <f t="shared" ref="BC65:BC66" si="126">ROUND(IF(BB65&gt;0, 100/BB65,0),3)</f>
        <v>0</v>
      </c>
      <c r="BE65" s="5">
        <f t="shared" ref="BE65:BE69" si="127">ROUND(AZ65*BD65,2)</f>
        <v>0</v>
      </c>
      <c r="BJ65" s="13"/>
      <c r="BK65" s="13"/>
      <c r="BL65" s="5">
        <f t="shared" ref="BL65:BL69" si="128">ROUND(IF(BJ65&gt;0, BK65/BJ65,0),3)</f>
        <v>0</v>
      </c>
      <c r="BM65" s="16">
        <f t="shared" ref="BM65:BM66" si="129">ROUND(IF(BL65&gt;0, 100/BL65,0),3)</f>
        <v>0</v>
      </c>
      <c r="BO65" s="5">
        <f t="shared" ref="BO65:BO69" si="130">ROUND(BJ65*BN65,2)</f>
        <v>0</v>
      </c>
      <c r="BT65" s="13"/>
      <c r="BU65" s="13"/>
      <c r="BV65" s="5">
        <f t="shared" ref="BV65:BV69" si="131">ROUND(IF(BT65&gt;0, BU65/BT65,0),3)</f>
        <v>0</v>
      </c>
      <c r="BW65" s="16">
        <f t="shared" ref="BW65:BW66" si="132">ROUND(IF(BV65&gt;0, 100/BV65,0),3)</f>
        <v>0</v>
      </c>
      <c r="BY65" s="5">
        <f t="shared" ref="BY65:BY69" si="133">ROUND(BT65*BX65,2)</f>
        <v>0</v>
      </c>
      <c r="CD65" s="13"/>
      <c r="CE65" s="13"/>
      <c r="CF65" s="5">
        <f t="shared" ref="CF65:CF69" si="134">ROUND(IF(CD65&gt;0, CE65/CD65,0),3)</f>
        <v>0</v>
      </c>
      <c r="CG65" s="16">
        <f t="shared" ref="CG65:CG66" si="135">ROUND(IF(CF65&gt;0, 100/CF65,0),3)</f>
        <v>0</v>
      </c>
      <c r="CI65" s="5">
        <f t="shared" ref="CI65:CI69" si="136">ROUND(CD65*CH65,2)</f>
        <v>0</v>
      </c>
      <c r="CN65" s="13"/>
      <c r="CO65" s="13"/>
      <c r="CP65" s="5">
        <f t="shared" ref="CP65:CP69" si="137">ROUND(IF(CN65&gt;0, CO65/CN65,0),3)</f>
        <v>0</v>
      </c>
      <c r="CQ65" s="16">
        <f t="shared" ref="CQ65:CQ66" si="138">ROUND(IF(CP65&gt;0, 100/CP65,0),3)</f>
        <v>0</v>
      </c>
      <c r="CS65" s="5">
        <f t="shared" ref="CS65:CS69" si="139">ROUND(CN65*CR65,2)</f>
        <v>0</v>
      </c>
      <c r="CX65" s="13"/>
      <c r="CY65" s="13"/>
      <c r="CZ65" s="5">
        <f t="shared" ref="CZ65:CZ69" si="140">ROUND(IF(CX65&gt;0, CY65/CX65,0),3)</f>
        <v>0</v>
      </c>
      <c r="DA65" s="16">
        <f t="shared" ref="DA65:DA66" si="141">ROUND(IF(CZ65&gt;0, 100/CZ65,0),3)</f>
        <v>0</v>
      </c>
      <c r="DC65" s="5">
        <f t="shared" ref="DC65:DC69" si="142">ROUND(CX65*DB65,2)</f>
        <v>0</v>
      </c>
      <c r="DH65" s="13"/>
      <c r="DI65" s="13"/>
      <c r="DJ65" s="5">
        <f t="shared" ref="DJ65:DJ69" si="143">ROUND(IF(DH65&gt;0, DI65/DH65,0),3)</f>
        <v>0</v>
      </c>
      <c r="DK65" s="16">
        <f t="shared" ref="DK65:DK66" si="144">ROUND(IF(DJ65&gt;0, 100/DJ65,0),3)</f>
        <v>0</v>
      </c>
      <c r="DM65" s="5">
        <f t="shared" ref="DM65:DM69" si="145">ROUND(DH65*DL65,2)</f>
        <v>0</v>
      </c>
    </row>
    <row r="66">
      <c r="C66" s="13"/>
      <c r="D66" s="5">
        <f t="shared" si="110"/>
        <v>0</v>
      </c>
      <c r="E66" s="16">
        <f t="shared" si="111"/>
        <v>0</v>
      </c>
      <c r="G66" s="5">
        <f t="shared" si="112"/>
        <v>0</v>
      </c>
      <c r="M66" s="13"/>
      <c r="N66" s="5">
        <f t="shared" si="113"/>
        <v>0</v>
      </c>
      <c r="O66" s="16">
        <f t="shared" si="114"/>
        <v>0</v>
      </c>
      <c r="Q66" s="5">
        <f t="shared" si="115"/>
        <v>0</v>
      </c>
      <c r="W66" s="13"/>
      <c r="X66" s="5">
        <f t="shared" si="116"/>
        <v>0</v>
      </c>
      <c r="Y66" s="16">
        <f t="shared" si="117"/>
        <v>0</v>
      </c>
      <c r="AA66" s="5">
        <f t="shared" si="118"/>
        <v>0</v>
      </c>
      <c r="AG66" s="5"/>
      <c r="AH66" s="5">
        <f t="shared" si="119"/>
        <v>0</v>
      </c>
      <c r="AI66" s="16">
        <f t="shared" si="120"/>
        <v>0</v>
      </c>
      <c r="AK66" s="5">
        <f t="shared" si="121"/>
        <v>0</v>
      </c>
      <c r="AQ66" s="5"/>
      <c r="AR66" s="5">
        <f t="shared" si="122"/>
        <v>0</v>
      </c>
      <c r="AS66" s="16">
        <f t="shared" si="123"/>
        <v>0</v>
      </c>
      <c r="AU66" s="5">
        <f t="shared" si="124"/>
        <v>0</v>
      </c>
      <c r="BA66" s="5"/>
      <c r="BB66" s="5">
        <f t="shared" si="125"/>
        <v>0</v>
      </c>
      <c r="BC66" s="16">
        <f t="shared" si="126"/>
        <v>0</v>
      </c>
      <c r="BE66" s="5">
        <f t="shared" si="127"/>
        <v>0</v>
      </c>
      <c r="BK66" s="5"/>
      <c r="BL66" s="5">
        <f t="shared" si="128"/>
        <v>0</v>
      </c>
      <c r="BM66" s="16">
        <f t="shared" si="129"/>
        <v>0</v>
      </c>
      <c r="BO66" s="5">
        <f t="shared" si="130"/>
        <v>0</v>
      </c>
      <c r="BU66" s="5"/>
      <c r="BV66" s="5">
        <f t="shared" si="131"/>
        <v>0</v>
      </c>
      <c r="BW66" s="16">
        <f t="shared" si="132"/>
        <v>0</v>
      </c>
      <c r="BY66" s="5">
        <f t="shared" si="133"/>
        <v>0</v>
      </c>
      <c r="CE66" s="5"/>
      <c r="CF66" s="5">
        <f t="shared" si="134"/>
        <v>0</v>
      </c>
      <c r="CG66" s="16">
        <f t="shared" si="135"/>
        <v>0</v>
      </c>
      <c r="CI66" s="5">
        <f t="shared" si="136"/>
        <v>0</v>
      </c>
      <c r="CO66" s="5"/>
      <c r="CP66" s="5">
        <f t="shared" si="137"/>
        <v>0</v>
      </c>
      <c r="CQ66" s="16">
        <f t="shared" si="138"/>
        <v>0</v>
      </c>
      <c r="CS66" s="5">
        <f t="shared" si="139"/>
        <v>0</v>
      </c>
      <c r="CY66" s="5"/>
      <c r="CZ66" s="5">
        <f t="shared" si="140"/>
        <v>0</v>
      </c>
      <c r="DA66" s="16">
        <f t="shared" si="141"/>
        <v>0</v>
      </c>
      <c r="DC66" s="5">
        <f t="shared" si="142"/>
        <v>0</v>
      </c>
      <c r="DI66" s="5"/>
      <c r="DJ66" s="5">
        <f t="shared" si="143"/>
        <v>0</v>
      </c>
      <c r="DK66" s="16">
        <f t="shared" si="144"/>
        <v>0</v>
      </c>
      <c r="DM66" s="5">
        <f t="shared" si="145"/>
        <v>0</v>
      </c>
    </row>
    <row r="67">
      <c r="C67" s="5"/>
      <c r="D67" s="5">
        <f t="shared" si="110"/>
        <v>0</v>
      </c>
      <c r="E67" s="16">
        <f t="shared" si="111"/>
        <v>0</v>
      </c>
      <c r="G67" s="5">
        <f t="shared" si="112"/>
        <v>0</v>
      </c>
      <c r="M67" s="5"/>
      <c r="N67" s="5">
        <f t="shared" si="113"/>
        <v>0</v>
      </c>
      <c r="O67" s="16">
        <f t="shared" ref="O67:O69" si="146">IF(N67&gt;0, 100/N67,0)</f>
        <v>0</v>
      </c>
      <c r="Q67" s="5">
        <f t="shared" si="115"/>
        <v>0</v>
      </c>
      <c r="W67" s="13"/>
      <c r="X67" s="5">
        <f t="shared" si="116"/>
        <v>0</v>
      </c>
      <c r="Y67" s="16">
        <f t="shared" ref="Y67:Y69" si="147">ROUND(IF(X67&gt;0, 100/X67,0),3)</f>
        <v>0</v>
      </c>
      <c r="AA67" s="5">
        <f t="shared" si="118"/>
        <v>0</v>
      </c>
      <c r="AG67" s="5"/>
      <c r="AH67" s="5">
        <f t="shared" si="119"/>
        <v>0</v>
      </c>
      <c r="AI67" s="16">
        <f t="shared" ref="AI67:AI69" si="148">ROUND(IF(AH67&gt;0, 100/AH67,0),3)</f>
        <v>0</v>
      </c>
      <c r="AK67" s="5">
        <f t="shared" si="121"/>
        <v>0</v>
      </c>
      <c r="AQ67" s="5"/>
      <c r="AR67" s="5">
        <f t="shared" si="122"/>
        <v>0</v>
      </c>
      <c r="AS67" s="16">
        <f t="shared" ref="AS67:AS69" si="149">ROUND(IF(AR67&gt;0, 100/AR67,0),3)</f>
        <v>0</v>
      </c>
      <c r="AU67" s="5">
        <f t="shared" si="124"/>
        <v>0</v>
      </c>
      <c r="BA67" s="5"/>
      <c r="BB67" s="5">
        <f t="shared" si="125"/>
        <v>0</v>
      </c>
      <c r="BC67" s="16">
        <f t="shared" ref="BC67:BC69" si="150">ROUND(IF(BB67&gt;0, 100/BB67,0),3)</f>
        <v>0</v>
      </c>
      <c r="BE67" s="5">
        <f t="shared" si="127"/>
        <v>0</v>
      </c>
      <c r="BK67" s="5"/>
      <c r="BL67" s="5">
        <f t="shared" si="128"/>
        <v>0</v>
      </c>
      <c r="BM67" s="16">
        <f t="shared" ref="BM67:BM69" si="151">ROUND(IF(BL67&gt;0, 100/BL67,0),3)</f>
        <v>0</v>
      </c>
      <c r="BO67" s="5">
        <f t="shared" si="130"/>
        <v>0</v>
      </c>
      <c r="BU67" s="5"/>
      <c r="BV67" s="5">
        <f t="shared" si="131"/>
        <v>0</v>
      </c>
      <c r="BW67" s="16">
        <f t="shared" ref="BW67:BW69" si="152">ROUND(IF(BV67&gt;0, 100/BV67,0),3)</f>
        <v>0</v>
      </c>
      <c r="BY67" s="5">
        <f t="shared" si="133"/>
        <v>0</v>
      </c>
      <c r="CE67" s="5"/>
      <c r="CF67" s="5">
        <f t="shared" si="134"/>
        <v>0</v>
      </c>
      <c r="CG67" s="16">
        <f t="shared" ref="CG67:CG69" si="153">ROUND(IF(CF67&gt;0, 100/CF67,0),3)</f>
        <v>0</v>
      </c>
      <c r="CI67" s="5">
        <f t="shared" si="136"/>
        <v>0</v>
      </c>
      <c r="CO67" s="5"/>
      <c r="CP67" s="5">
        <f t="shared" si="137"/>
        <v>0</v>
      </c>
      <c r="CQ67" s="16">
        <f t="shared" ref="CQ67:CQ69" si="154">ROUND(IF(CP67&gt;0, 100/CP67,0),3)</f>
        <v>0</v>
      </c>
      <c r="CS67" s="5">
        <f t="shared" si="139"/>
        <v>0</v>
      </c>
      <c r="CY67" s="5"/>
      <c r="CZ67" s="5">
        <f t="shared" si="140"/>
        <v>0</v>
      </c>
      <c r="DA67" s="16">
        <f t="shared" ref="DA67:DA69" si="155">ROUND(IF(CZ67&gt;0, 100/CZ67,0),3)</f>
        <v>0</v>
      </c>
      <c r="DC67" s="5">
        <f t="shared" si="142"/>
        <v>0</v>
      </c>
      <c r="DI67" s="5"/>
      <c r="DJ67" s="5">
        <f t="shared" si="143"/>
        <v>0</v>
      </c>
      <c r="DK67" s="16">
        <f t="shared" ref="DK67:DK69" si="156">ROUND(IF(DJ67&gt;0, 100/DJ67,0),3)</f>
        <v>0</v>
      </c>
      <c r="DM67" s="5">
        <f t="shared" si="145"/>
        <v>0</v>
      </c>
    </row>
    <row r="68">
      <c r="D68" s="5">
        <f t="shared" si="110"/>
        <v>0</v>
      </c>
      <c r="E68" s="16">
        <f t="shared" si="111"/>
        <v>0</v>
      </c>
      <c r="G68" s="5">
        <f t="shared" si="112"/>
        <v>0</v>
      </c>
      <c r="N68" s="5">
        <f t="shared" si="113"/>
        <v>0</v>
      </c>
      <c r="O68" s="16">
        <f t="shared" si="146"/>
        <v>0</v>
      </c>
      <c r="Q68" s="5">
        <f t="shared" si="115"/>
        <v>0</v>
      </c>
      <c r="X68" s="5">
        <f t="shared" si="116"/>
        <v>0</v>
      </c>
      <c r="Y68" s="16">
        <f t="shared" si="147"/>
        <v>0</v>
      </c>
      <c r="AA68" s="5">
        <f t="shared" ref="AA68:AA69" si="157">ROUND(V68*Z67,2)</f>
        <v>0</v>
      </c>
      <c r="AH68" s="5">
        <f t="shared" si="119"/>
        <v>0</v>
      </c>
      <c r="AI68" s="16">
        <f t="shared" si="148"/>
        <v>0</v>
      </c>
      <c r="AK68" s="5">
        <f t="shared" ref="AK68:AK69" si="158">ROUND(AF68*AJ67,2)</f>
        <v>0</v>
      </c>
      <c r="AR68" s="5">
        <f t="shared" si="122"/>
        <v>0</v>
      </c>
      <c r="AS68" s="16">
        <f t="shared" si="149"/>
        <v>0</v>
      </c>
      <c r="AU68" s="5">
        <f t="shared" si="124"/>
        <v>0</v>
      </c>
      <c r="BB68" s="5">
        <f t="shared" si="125"/>
        <v>0</v>
      </c>
      <c r="BC68" s="16">
        <f t="shared" si="150"/>
        <v>0</v>
      </c>
      <c r="BE68" s="5">
        <f t="shared" si="127"/>
        <v>0</v>
      </c>
      <c r="BL68" s="5">
        <f t="shared" si="128"/>
        <v>0</v>
      </c>
      <c r="BM68" s="16">
        <f t="shared" si="151"/>
        <v>0</v>
      </c>
      <c r="BO68" s="5">
        <f t="shared" si="130"/>
        <v>0</v>
      </c>
      <c r="BV68" s="5">
        <f t="shared" si="131"/>
        <v>0</v>
      </c>
      <c r="BW68" s="16">
        <f t="shared" si="152"/>
        <v>0</v>
      </c>
      <c r="BY68" s="5">
        <f t="shared" si="133"/>
        <v>0</v>
      </c>
      <c r="CF68" s="5">
        <f t="shared" si="134"/>
        <v>0</v>
      </c>
      <c r="CG68" s="16">
        <f t="shared" si="153"/>
        <v>0</v>
      </c>
      <c r="CI68" s="5">
        <f t="shared" si="136"/>
        <v>0</v>
      </c>
      <c r="CP68" s="5">
        <f t="shared" si="137"/>
        <v>0</v>
      </c>
      <c r="CQ68" s="16">
        <f t="shared" si="154"/>
        <v>0</v>
      </c>
      <c r="CS68" s="5">
        <f t="shared" si="139"/>
        <v>0</v>
      </c>
      <c r="CZ68" s="5">
        <f t="shared" si="140"/>
        <v>0</v>
      </c>
      <c r="DA68" s="16">
        <f t="shared" si="155"/>
        <v>0</v>
      </c>
      <c r="DC68" s="5">
        <f t="shared" si="142"/>
        <v>0</v>
      </c>
      <c r="DJ68" s="5">
        <f t="shared" si="143"/>
        <v>0</v>
      </c>
      <c r="DK68" s="16">
        <f t="shared" si="156"/>
        <v>0</v>
      </c>
      <c r="DM68" s="5">
        <f t="shared" si="145"/>
        <v>0</v>
      </c>
    </row>
    <row r="69">
      <c r="D69" s="5">
        <f t="shared" si="110"/>
        <v>0</v>
      </c>
      <c r="E69" s="16">
        <f t="shared" si="111"/>
        <v>0</v>
      </c>
      <c r="G69" s="5">
        <f t="shared" si="112"/>
        <v>0</v>
      </c>
      <c r="N69" s="5">
        <f t="shared" si="113"/>
        <v>0</v>
      </c>
      <c r="O69" s="16">
        <f t="shared" si="146"/>
        <v>0</v>
      </c>
      <c r="Q69" s="5">
        <f t="shared" si="115"/>
        <v>0</v>
      </c>
      <c r="X69" s="5">
        <f t="shared" si="116"/>
        <v>0</v>
      </c>
      <c r="Y69" s="16">
        <f t="shared" si="147"/>
        <v>0</v>
      </c>
      <c r="AA69" s="5">
        <f t="shared" si="157"/>
        <v>0</v>
      </c>
      <c r="AH69" s="5">
        <f t="shared" si="119"/>
        <v>0</v>
      </c>
      <c r="AI69" s="16">
        <f t="shared" si="148"/>
        <v>0</v>
      </c>
      <c r="AK69" s="5">
        <f t="shared" si="158"/>
        <v>0</v>
      </c>
      <c r="AR69" s="5">
        <f t="shared" si="122"/>
        <v>0</v>
      </c>
      <c r="AS69" s="16">
        <f t="shared" si="149"/>
        <v>0</v>
      </c>
      <c r="AU69" s="5">
        <f t="shared" si="124"/>
        <v>0</v>
      </c>
      <c r="BB69" s="5">
        <f t="shared" si="125"/>
        <v>0</v>
      </c>
      <c r="BC69" s="16">
        <f t="shared" si="150"/>
        <v>0</v>
      </c>
      <c r="BE69" s="5">
        <f t="shared" si="127"/>
        <v>0</v>
      </c>
      <c r="BL69" s="5">
        <f t="shared" si="128"/>
        <v>0</v>
      </c>
      <c r="BM69" s="16">
        <f t="shared" si="151"/>
        <v>0</v>
      </c>
      <c r="BO69" s="5">
        <f t="shared" si="130"/>
        <v>0</v>
      </c>
      <c r="BV69" s="5">
        <f t="shared" si="131"/>
        <v>0</v>
      </c>
      <c r="BW69" s="16">
        <f t="shared" si="152"/>
        <v>0</v>
      </c>
      <c r="BY69" s="5">
        <f t="shared" si="133"/>
        <v>0</v>
      </c>
      <c r="CB69" s="5"/>
      <c r="CC69" s="5"/>
      <c r="CD69" s="5"/>
      <c r="CE69" s="5"/>
      <c r="CF69" s="5">
        <f t="shared" si="134"/>
        <v>0</v>
      </c>
      <c r="CG69" s="16">
        <f t="shared" si="153"/>
        <v>0</v>
      </c>
      <c r="CI69" s="5">
        <f t="shared" si="136"/>
        <v>0</v>
      </c>
      <c r="CJ69" s="5"/>
      <c r="CK69" s="5"/>
      <c r="CL69" s="5"/>
      <c r="CP69" s="5">
        <f t="shared" si="137"/>
        <v>0</v>
      </c>
      <c r="CQ69" s="16">
        <f t="shared" si="154"/>
        <v>0</v>
      </c>
      <c r="CS69" s="5">
        <f t="shared" si="139"/>
        <v>0</v>
      </c>
      <c r="CZ69" s="5">
        <f t="shared" si="140"/>
        <v>0</v>
      </c>
      <c r="DA69" s="16">
        <f t="shared" si="155"/>
        <v>0</v>
      </c>
      <c r="DC69" s="5">
        <f t="shared" si="142"/>
        <v>0</v>
      </c>
      <c r="DF69" s="5"/>
      <c r="DG69" s="5"/>
      <c r="DH69" s="5"/>
      <c r="DI69" s="5"/>
      <c r="DJ69" s="5">
        <f t="shared" si="143"/>
        <v>0</v>
      </c>
      <c r="DK69" s="16">
        <f t="shared" si="156"/>
        <v>0</v>
      </c>
      <c r="DM69" s="5">
        <f t="shared" si="145"/>
        <v>0</v>
      </c>
      <c r="DN69" s="5"/>
      <c r="DO69" s="5"/>
      <c r="DP69" s="5"/>
      <c r="DQ69" s="5"/>
    </row>
    <row r="70">
      <c r="N70" s="5"/>
      <c r="Q70" s="5"/>
    </row>
    <row r="76">
      <c r="C76" s="5"/>
      <c r="D76" s="5"/>
      <c r="F76" s="5"/>
    </row>
    <row r="77">
      <c r="C77" s="5"/>
      <c r="D77" s="5"/>
      <c r="F77" s="5"/>
    </row>
    <row r="78">
      <c r="C78" s="5"/>
      <c r="D78" s="5"/>
      <c r="F78" s="5"/>
    </row>
  </sheetData>
  <conditionalFormatting sqref="AM6:AM7 AW6:AW7 BG6:BG7 BQ6:BQ7 CA6:CA7 CK6:CK7 CU6:CU7 DE6:DE7 DO6:DO7 I7 S7 AC7">
    <cfRule type="cellIs" dxfId="0" priority="1" operator="lessThan">
      <formula>50</formula>
    </cfRule>
  </conditionalFormatting>
  <conditionalFormatting sqref="AM6:AM7 AW6:AW7 BG6:BG7 BQ6:BQ7 CA6:CA7 CK6:CK7 CU6:CU7 DE6:DE7 DO6:DO7 I7 S7 AC7">
    <cfRule type="cellIs" dxfId="1" priority="2" operator="between">
      <formula>50</formula>
      <formula>70</formula>
    </cfRule>
  </conditionalFormatting>
  <conditionalFormatting sqref="AM6:AM7 AW6:AW7 BG6:BG7 BQ6:BQ7 CA6:CA7 CK6:CK7 CU6:CU7 DE6:DE7 DO6:DO7 I7 S7 AC7">
    <cfRule type="cellIs" dxfId="2" priority="3" operator="between">
      <formula>70</formula>
      <formula>100</formula>
    </cfRule>
  </conditionalFormatting>
  <conditionalFormatting sqref="I4 S4 AC4 AM4 AW4 BG4 BQ4 CA4 CK4 CU4 DE4 DO4">
    <cfRule type="expression" dxfId="0" priority="4">
      <formula>I4=46032.0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3.5"/>
    <col customWidth="1" min="5" max="5" width="13.5"/>
  </cols>
  <sheetData>
    <row r="1">
      <c r="A1" s="21" t="s">
        <v>67</v>
      </c>
    </row>
    <row r="2">
      <c r="A2" s="14" t="s">
        <v>68</v>
      </c>
      <c r="B2" s="14" t="s">
        <v>69</v>
      </c>
      <c r="C2" s="14" t="s">
        <v>70</v>
      </c>
      <c r="D2" s="14" t="s">
        <v>71</v>
      </c>
    </row>
  </sheetData>
  <mergeCells count="1">
    <mergeCell ref="A1:D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</cols>
  <sheetData>
    <row r="1">
      <c r="A1" s="21" t="s">
        <v>67</v>
      </c>
    </row>
    <row r="2">
      <c r="A2" s="14" t="s">
        <v>42</v>
      </c>
      <c r="B2" s="14" t="s">
        <v>72</v>
      </c>
      <c r="C2" s="14" t="s">
        <v>73</v>
      </c>
      <c r="D2" s="14" t="s">
        <v>71</v>
      </c>
    </row>
  </sheetData>
  <mergeCells count="1">
    <mergeCell ref="A1:D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</cols>
  <sheetData>
    <row r="1">
      <c r="A1" s="21" t="s">
        <v>74</v>
      </c>
    </row>
    <row r="2">
      <c r="A2" s="14" t="s">
        <v>66</v>
      </c>
      <c r="B2" s="14" t="s">
        <v>73</v>
      </c>
      <c r="C2" s="14" t="s">
        <v>71</v>
      </c>
    </row>
  </sheetData>
  <mergeCells count="1">
    <mergeCell ref="A1:C1"/>
  </mergeCells>
  <drawing r:id="rId1"/>
</worksheet>
</file>